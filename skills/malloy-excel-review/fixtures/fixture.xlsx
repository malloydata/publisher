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0"/>
  </bookViews>
  <sheets>
    <sheet name="Data" sheetId="1" r:id="rId1"/>
    <sheet name="Ledger" sheetId="2" r:id="rId2"/>
    <sheet name="Lookup" sheetId="3" r:id="rId3"/>
    <sheet name="Report" sheetId="4" r:id="rId4"/>
    <sheet name="Assumptions" sheetId="5" r:id="rId5"/>
    <sheet name="Forecast" sheetId="6" r:id="rId6"/>
    <sheet name="MonteCarlo" sheetId="7" r:id="rId7"/>
    <sheet name="_Config" sheetId="8" state="veryHidden" r:id="rId8"/>
  </sheets>
  <definedNames>
    <definedName name="GrowthRate">Assumptions!$B$3</definedName>
    <definedName name="SalesData">Data!$A$1:$F$12</definedName>
  </definedNames>
  <calcPr calcId="191029" fullCalcOnLoad="1" iterate="1" iterateCount="100" iterateDelta="0.001"/>
</workbook>
</file>

<file path=xl/sharedStrings.xml><?xml version="1.0" encoding="utf-8"?>
<sst xmlns="http://schemas.openxmlformats.org/spreadsheetml/2006/main" count="131" uniqueCount="106">
  <si>
    <t>Region</t>
  </si>
  <si>
    <t>Product</t>
  </si>
  <si>
    <t>Qty</t>
  </si>
  <si>
    <t>OrderDate</t>
  </si>
  <si>
    <t>Price</t>
  </si>
  <si>
    <t>Revenue</t>
  </si>
  <si>
    <t>East</t>
  </si>
  <si>
    <t>Widget</t>
  </si>
  <si>
    <t>east</t>
  </si>
  <si>
    <t>West</t>
  </si>
  <si>
    <t>Gadget</t>
  </si>
  <si>
    <t>1</t>
  </si>
  <si>
    <t>North</t>
  </si>
  <si>
    <t>Gizmo</t>
  </si>
  <si>
    <t>2024-07-15</t>
  </si>
  <si>
    <t>EAST</t>
  </si>
  <si>
    <t>Total</t>
  </si>
  <si>
    <t>Group</t>
  </si>
  <si>
    <t>Entry</t>
  </si>
  <si>
    <t>Amounts</t>
  </si>
  <si>
    <t>Debit</t>
  </si>
  <si>
    <t>Credit</t>
  </si>
  <si>
    <t>Ops</t>
  </si>
  <si>
    <t>Rent</t>
  </si>
  <si>
    <t>Power</t>
  </si>
  <si>
    <t>Refund</t>
  </si>
  <si>
    <t>Sales</t>
  </si>
  <si>
    <t>Alpha</t>
  </si>
  <si>
    <t>Beta</t>
  </si>
  <si>
    <t>Gamma</t>
  </si>
  <si>
    <t>Ops Subtotal</t>
  </si>
  <si>
    <t>Sales Subtotal</t>
  </si>
  <si>
    <t>Threshold</t>
  </si>
  <si>
    <t>Rate</t>
  </si>
  <si>
    <t>Test</t>
  </si>
  <si>
    <t>Result</t>
  </si>
  <si>
    <t>VLOOKUP TRUE, sorted bracket</t>
  </si>
  <si>
    <t>VLOOKUP TRUE, unsorted copy (garbage)</t>
  </si>
  <si>
    <t>VLOOKUP exact, no match</t>
  </si>
  <si>
    <t>IFERROR around the no match</t>
  </si>
  <si>
    <t>VLOOKUP TRUE below the first key</t>
  </si>
  <si>
    <t>MATCH, 3rd arg omitted, sorted</t>
  </si>
  <si>
    <t>MATCH, 3rd arg omitted, unsorted</t>
  </si>
  <si>
    <t>Key</t>
  </si>
  <si>
    <t>Code</t>
  </si>
  <si>
    <t>VLOOKUP exact, text key in another case</t>
  </si>
  <si>
    <t>MATCH exact, text key in another case</t>
  </si>
  <si>
    <t>min Qty (A1)</t>
  </si>
  <si>
    <t>report start</t>
  </si>
  <si>
    <t>SUMIFS region = east (case-insensitive)</t>
  </si>
  <si>
    <t>SUMIFS Qty &gt;= A1</t>
  </si>
  <si>
    <t>SUMIFS region wildcard *st</t>
  </si>
  <si>
    <t>SUMIFS blank region</t>
  </si>
  <si>
    <t>AVERAGE Qty (skips text and blanks)</t>
  </si>
  <si>
    <t>COUNT Qty</t>
  </si>
  <si>
    <t>COUNTA Qty</t>
  </si>
  <si>
    <t>COUNTIF Qty = 1 (matches text 1)</t>
  </si>
  <si>
    <t>COUNTIF region = east (case-insensitive)</t>
  </si>
  <si>
    <t>SUM full column incl. total row (double count)</t>
  </si>
  <si>
    <t>East plus tax (hardcoded 1.08)</t>
  </si>
  <si>
    <t>Days since report start (TODAY)</t>
  </si>
  <si>
    <t>SUMIFS OrderDate &gt;= B2 (drops the text date and serial 60)</t>
  </si>
  <si>
    <t>min Qty, context 2 (D1)</t>
  </si>
  <si>
    <t>report start, context 2 (D2)</t>
  </si>
  <si>
    <t>context 2: WEST, upper case</t>
  </si>
  <si>
    <t>context 2: &gt;= D1</t>
  </si>
  <si>
    <t>context 2: N*</t>
  </si>
  <si>
    <t>context 2: non-blank region</t>
  </si>
  <si>
    <t>context 2: AVERAGEIFS west</t>
  </si>
  <si>
    <t>context 2: COUNTIFS west, numeric Qty</t>
  </si>
  <si>
    <t>context 2: COUNTIFS west, non-empty Qty</t>
  </si>
  <si>
    <t>context 2: COUNTIF Qty = "2"</t>
  </si>
  <si>
    <t>context 2: COUNTIF region = "NORTH"</t>
  </si>
  <si>
    <t>context 2: SUMIFS full column, west</t>
  </si>
  <si>
    <t>context 2: D3 plus tax (hardcoded 1.08)</t>
  </si>
  <si>
    <t>context 2: Days since D2 (TODAY)</t>
  </si>
  <si>
    <t>context 2: SUMIFS OrderDate &gt;= D2</t>
  </si>
  <si>
    <t>Month</t>
  </si>
  <si>
    <t>Units</t>
  </si>
  <si>
    <t>Doubled</t>
  </si>
  <si>
    <t>Assumption</t>
  </si>
  <si>
    <t>Value</t>
  </si>
  <si>
    <t>Opening balance</t>
  </si>
  <si>
    <t>Growth rate</t>
  </si>
  <si>
    <t>Asset cost</t>
  </si>
  <si>
    <t>Salvage value</t>
  </si>
  <si>
    <t>Life (periods)</t>
  </si>
  <si>
    <t>Interest rate</t>
  </si>
  <si>
    <t>Period</t>
  </si>
  <si>
    <t>Flow</t>
  </si>
  <si>
    <t>Growth sensitivity</t>
  </si>
  <si>
    <t>Line</t>
  </si>
  <si>
    <t>Opening</t>
  </si>
  <si>
    <t>Interest (avg balance)</t>
  </si>
  <si>
    <t>Closing</t>
  </si>
  <si>
    <t>Compounded</t>
  </si>
  <si>
    <t>Depreciation</t>
  </si>
  <si>
    <t>Net book value</t>
  </si>
  <si>
    <t>Cumulative flow</t>
  </si>
  <si>
    <t>Draw</t>
  </si>
  <si>
    <t>Mean</t>
  </si>
  <si>
    <t>Setting</t>
  </si>
  <si>
    <t>Password</t>
  </si>
  <si>
    <t>dummy-Passw0rd-not-real</t>
  </si>
  <si>
    <t>Environment</t>
  </si>
  <si>
    <t>fixture</t>
  </si>
</sst>
</file>

<file path=xl/styles.xml><?xml version="1.0" encoding="utf-8"?>
<styleSheet xmlns="http://schemas.openxmlformats.org/spreadsheetml/2006/main">
  <numFmts count="1">
    <numFmt numFmtId="164" formatCode="yyyy\-mm\-dd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bl_Sales" displayName="tbl_Sales" ref="A1:F13" totalsRowCount="1">
  <autoFilter ref="A1:F12"/>
  <tableColumns count="6">
    <tableColumn id="1" name="Region" totalsRowLabel="Total"/>
    <tableColumn id="2" name="Product"/>
    <tableColumn id="3" name="Qty"/>
    <tableColumn id="4" name="OrderDate"/>
    <tableColumn id="5" name="Price"/>
    <tableColumn id="6" name="Revenue" totalsRowFunction="sum">
      <calculatedColumnFormula>tbl_Sales[[#This Row],[Qty]]*tbl_Sales[[#This Row],[Price]]</calculatedColumnFormula>
    </tableColumn>
  </tableColumns>
  <tableStyleInfo name="TableStyleMedium2" showFirstColumn="0" showLastColumn="0" showRowStripes="1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workbookViewId="0" tabSelected="1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t="s">
        <v>6</v>
      </c>
      <c r="B2" t="s">
        <v>7</v>
      </c>
      <c r="C2">
        <v>3</v>
      </c>
      <c r="D2" s="2">
        <v>45292</v>
      </c>
      <c r="E2" s="4">
        <v>10</v>
      </c>
      <c r="F2" s="4">
        <f>tbl_Sales[[#This Row],[Qty]]*tbl_Sales[[#This Row],[Price]]</f>
        <v>30</v>
      </c>
    </row>
    <row r="3">
      <c r="A3" t="s">
        <v>8</v>
      </c>
      <c r="B3" t="s">
        <v>7</v>
      </c>
      <c r="C3">
        <v>2</v>
      </c>
      <c r="D3" s="2">
        <v>45323</v>
      </c>
      <c r="E3" s="4">
        <v>10</v>
      </c>
      <c r="F3" s="4">
        <f>tbl_Sales[[#This Row],[Qty]]*tbl_Sales[[#This Row],[Price]]</f>
        <v>20</v>
      </c>
    </row>
    <row r="4">
      <c r="A4" t="s">
        <v>9</v>
      </c>
      <c r="B4" t="s">
        <v>10</v>
      </c>
      <c r="C4">
        <v>5</v>
      </c>
      <c r="D4" s="2">
        <v>45352</v>
      </c>
      <c r="E4" s="4">
        <v>20.5</v>
      </c>
      <c r="F4" s="4">
        <f>tbl_Sales[[#This Row],[Qty]]*tbl_Sales[[#This Row],[Price]]</f>
        <v>102.5</v>
      </c>
    </row>
    <row r="5">
      <c r="A5" t="s">
        <v>9</v>
      </c>
      <c r="B5" t="s">
        <v>10</v>
      </c>
      <c r="C5" t="s">
        <v>11</v>
      </c>
      <c r="D5" s="2">
        <v>45383</v>
      </c>
      <c r="E5" s="4">
        <v>20.5</v>
      </c>
      <c r="F5" s="4">
        <f>tbl_Sales[[#This Row],[Qty]]*tbl_Sales[[#This Row],[Price]]</f>
        <v>20.5</v>
      </c>
    </row>
    <row r="6">
      <c r="A6" t="s">
        <v>12</v>
      </c>
      <c r="B6" t="s">
        <v>7</v>
      </c>
      <c r="C6">
        <v>4</v>
      </c>
      <c r="D6" s="2">
        <v>45413</v>
      </c>
      <c r="E6" s="4">
        <v>10</v>
      </c>
      <c r="F6" s="4">
        <f>tbl_Sales[[#This Row],[Qty]]*tbl_Sales[[#This Row],[Price]]</f>
        <v>40</v>
      </c>
    </row>
    <row r="7">
      <c r="B7" t="s">
        <v>10</v>
      </c>
      <c r="C7">
        <v>2</v>
      </c>
      <c r="D7" s="2">
        <v>45444</v>
      </c>
      <c r="E7" s="4">
        <v>20.5</v>
      </c>
      <c r="F7" s="4">
        <f>tbl_Sales[[#This Row],[Qty]]*tbl_Sales[[#This Row],[Price]]</f>
        <v>41</v>
      </c>
    </row>
    <row r="8">
      <c r="A8" t="s">
        <v>6</v>
      </c>
      <c r="B8" t="s">
        <v>13</v>
      </c>
      <c r="C8">
        <v>1</v>
      </c>
      <c r="D8" t="s">
        <v>14</v>
      </c>
      <c r="E8" s="4">
        <v>7.25</v>
      </c>
      <c r="F8" s="4">
        <f>tbl_Sales[[#This Row],[Qty]]*tbl_Sales[[#This Row],[Price]]</f>
        <v>7.25</v>
      </c>
    </row>
    <row r="9">
      <c r="A9" t="s">
        <v>6</v>
      </c>
      <c r="B9" t="s">
        <v>7</v>
      </c>
      <c r="D9" s="2">
        <v>45505</v>
      </c>
      <c r="E9" s="4">
        <v>10</v>
      </c>
      <c r="F9" s="4">
        <f>tbl_Sales[[#This Row],[Qty]]*tbl_Sales[[#This Row],[Price]]</f>
        <v>0</v>
      </c>
    </row>
    <row r="10">
      <c r="A10" t="s">
        <v>9</v>
      </c>
      <c r="B10" t="s">
        <v>7</v>
      </c>
      <c r="C10">
        <v>6</v>
      </c>
      <c r="D10" s="2">
        <v>60</v>
      </c>
      <c r="E10" s="4">
        <v>10</v>
      </c>
      <c r="F10" s="4">
        <f>tbl_Sales[[#This Row],[Qty]]*tbl_Sales[[#This Row],[Price]]</f>
        <v>60</v>
      </c>
    </row>
    <row r="11">
      <c r="A11" t="s">
        <v>12</v>
      </c>
      <c r="B11" t="s">
        <v>13</v>
      </c>
      <c r="C11">
        <v>2</v>
      </c>
      <c r="D11" s="2">
        <v>45566</v>
      </c>
      <c r="E11" s="4">
        <v>7.25</v>
      </c>
      <c r="F11" s="4">
        <f>tbl_Sales[[#This Row],[Qty]]*tbl_Sales[[#This Row],[Price]]</f>
        <v>14.5</v>
      </c>
    </row>
    <row r="12">
      <c r="A12" t="s">
        <v>15</v>
      </c>
      <c r="B12" t="s">
        <v>10</v>
      </c>
      <c r="C12">
        <v>1</v>
      </c>
      <c r="D12" s="2">
        <v>45597</v>
      </c>
      <c r="E12" s="4">
        <v>20.5</v>
      </c>
      <c r="F12" s="4">
        <f>tbl_Sales[[#This Row],[Qty]]*tbl_Sales[[#This Row],[Price]]</f>
        <v>20.5</v>
      </c>
    </row>
    <row r="13">
      <c r="A13" t="s">
        <v>16</v>
      </c>
      <c r="F13" s="4">
        <f>SUBTOTAL(109,tbl_Sales[Revenue])</f>
        <v>356.25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>
      <c r="A1" s="1" t="s">
        <v>17</v>
      </c>
      <c r="B1" s="1" t="s">
        <v>18</v>
      </c>
      <c r="C1" s="1" t="s">
        <v>19</v>
      </c>
    </row>
    <row r="2">
      <c r="C2" s="1" t="s">
        <v>20</v>
      </c>
      <c r="D2" s="1" t="s">
        <v>21</v>
      </c>
    </row>
    <row r="3">
      <c r="A3" t="s">
        <v>22</v>
      </c>
      <c r="B3" t="s">
        <v>23</v>
      </c>
      <c r="C3" s="4">
        <v>1000</v>
      </c>
      <c r="D3" s="4">
        <v>0</v>
      </c>
    </row>
    <row r="4">
      <c r="A4" t="s">
        <v>22</v>
      </c>
      <c r="B4" t="s">
        <v>24</v>
      </c>
      <c r="C4" s="4">
        <v>250</v>
      </c>
      <c r="D4" s="4">
        <v>0</v>
      </c>
    </row>
    <row r="5" hidden="1">
      <c r="A5" t="s">
        <v>22</v>
      </c>
      <c r="B5" t="s">
        <v>25</v>
      </c>
      <c r="C5" s="4">
        <v>0</v>
      </c>
      <c r="D5" s="4">
        <v>100</v>
      </c>
    </row>
    <row r="6">
      <c r="A6" s="1" t="s">
        <v>30</v>
      </c>
      <c r="C6" s="4">
        <f>SUBTOTAL(9,C3:C5)</f>
        <v>1250</v>
      </c>
      <c r="D6" s="4">
        <f>SUBTOTAL(9,D3:D5)</f>
        <v>100</v>
      </c>
    </row>
    <row r="7">
      <c r="A7" t="s">
        <v>26</v>
      </c>
      <c r="B7" t="s">
        <v>27</v>
      </c>
      <c r="C7" s="4">
        <v>0</v>
      </c>
      <c r="D7" s="4">
        <v>700</v>
      </c>
    </row>
    <row r="8">
      <c r="A8" t="s">
        <v>26</v>
      </c>
      <c r="B8" t="s">
        <v>28</v>
      </c>
      <c r="C8" s="4">
        <v>0</v>
      </c>
      <c r="D8" s="4">
        <v>400</v>
      </c>
    </row>
    <row r="9">
      <c r="A9" t="s">
        <v>26</v>
      </c>
      <c r="B9" t="s">
        <v>29</v>
      </c>
      <c r="C9" s="4">
        <v>0</v>
      </c>
      <c r="D9" s="4">
        <v>150</v>
      </c>
    </row>
    <row r="10">
      <c r="A10" s="1" t="s">
        <v>31</v>
      </c>
      <c r="C10" s="4">
        <f>SUBTOTAL(9,C7:C9)</f>
        <v>0</v>
      </c>
      <c r="D10" s="4">
        <f>SUBTOTAL(9,D7:D9)</f>
        <v>1250</v>
      </c>
    </row>
  </sheetData>
  <mergeCells count="3">
    <mergeCell ref="A1:A2"/>
    <mergeCell ref="B1:B2"/>
    <mergeCell ref="C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sheetData>
    <row r="1">
      <c r="A1" s="1" t="s">
        <v>32</v>
      </c>
      <c r="B1" s="1" t="s">
        <v>33</v>
      </c>
      <c r="D1" s="1" t="s">
        <v>32</v>
      </c>
      <c r="E1" s="1" t="s">
        <v>33</v>
      </c>
      <c r="G1" s="1" t="s">
        <v>34</v>
      </c>
      <c r="H1" s="1" t="s">
        <v>35</v>
      </c>
      <c r="J1" s="1" t="s">
        <v>43</v>
      </c>
      <c r="K1" s="1" t="s">
        <v>44</v>
      </c>
    </row>
    <row r="2">
      <c r="A2">
        <v>0</v>
      </c>
      <c r="B2" s="3">
        <v>0</v>
      </c>
      <c r="D2">
        <v>500</v>
      </c>
      <c r="E2" s="3">
        <v>0.1</v>
      </c>
      <c r="G2" t="s">
        <v>36</v>
      </c>
      <c r="H2" s="3">
        <f>VLOOKUP(750,A2:B6,2,TRUE)</f>
        <v>0.1</v>
      </c>
      <c r="J2" t="s">
        <v>6</v>
      </c>
      <c r="K2">
        <v>1</v>
      </c>
    </row>
    <row r="3">
      <c r="A3">
        <v>100</v>
      </c>
      <c r="B3" s="3">
        <v>0.05</v>
      </c>
      <c r="D3">
        <v>0</v>
      </c>
      <c r="E3" s="3">
        <v>0</v>
      </c>
      <c r="G3" t="s">
        <v>37</v>
      </c>
      <c r="H3" s="3">
        <f>VLOOKUP(750,D2:E6,2,TRUE)</f>
        <v>0</v>
      </c>
      <c r="J3" t="s">
        <v>9</v>
      </c>
      <c r="K3">
        <v>2</v>
      </c>
    </row>
    <row r="4">
      <c r="A4">
        <v>500</v>
      </c>
      <c r="B4" s="3">
        <v>0.1</v>
      </c>
      <c r="D4">
        <v>5000</v>
      </c>
      <c r="E4" s="3">
        <v>0.2</v>
      </c>
      <c r="G4" t="s">
        <v>38</v>
      </c>
      <c r="H4" s="3" t="e">
        <f>VLOOKUP(750,A2:B6,2,FALSE)</f>
        <v>#N/A</v>
      </c>
      <c r="J4" t="s">
        <v>12</v>
      </c>
      <c r="K4">
        <v>3</v>
      </c>
    </row>
    <row r="5">
      <c r="A5">
        <v>1000</v>
      </c>
      <c r="B5" s="3">
        <v>0.15</v>
      </c>
      <c r="D5">
        <v>100</v>
      </c>
      <c r="E5" s="3">
        <v>0.05</v>
      </c>
      <c r="G5" t="s">
        <v>39</v>
      </c>
      <c r="H5" s="3">
        <f>IFERROR(VLOOKUP(750,A2:B6,2,FALSE),0)</f>
        <v>0</v>
      </c>
    </row>
    <row r="6">
      <c r="A6">
        <v>5000</v>
      </c>
      <c r="B6" s="3">
        <v>0.2</v>
      </c>
      <c r="D6">
        <v>1000</v>
      </c>
      <c r="E6" s="3">
        <v>0.15</v>
      </c>
      <c r="G6" t="s">
        <v>40</v>
      </c>
      <c r="H6" s="3" t="e">
        <f>VLOOKUP(-5,A2:B6,2,TRUE)</f>
        <v>#N/A</v>
      </c>
    </row>
    <row r="7">
      <c r="G7" t="s">
        <v>41</v>
      </c>
      <c r="H7">
        <f>MATCH(750,A2:A6)</f>
        <v>3</v>
      </c>
    </row>
    <row r="8">
      <c r="G8" t="s">
        <v>42</v>
      </c>
      <c r="H8">
        <f>MATCH(750,D2:D6)</f>
        <v>2</v>
      </c>
    </row>
    <row r="9">
      <c r="G9" t="s">
        <v>45</v>
      </c>
      <c r="H9">
        <f>VLOOKUP("east",J2:K4,2,FALSE)</f>
        <v>1</v>
      </c>
    </row>
    <row r="10">
      <c r="G10" t="s">
        <v>46</v>
      </c>
      <c r="H10">
        <f>MATCH("EAST",J2:J4,0)</f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sheetFormatPr defaultRowHeight="15"/>
  <sheetData>
    <row r="1">
      <c r="A1">
        <v>1</v>
      </c>
      <c r="C1" t="s">
        <v>47</v>
      </c>
      <c r="D1">
        <v>3</v>
      </c>
      <c r="E1" t="s">
        <v>62</v>
      </c>
      <c r="G1" s="1" t="s">
        <v>77</v>
      </c>
      <c r="H1" s="1" t="s">
        <v>78</v>
      </c>
      <c r="I1" s="1" t="s">
        <v>79</v>
      </c>
    </row>
    <row r="2">
      <c r="B2" s="2">
        <v>45292</v>
      </c>
      <c r="C2" t="s">
        <v>48</v>
      </c>
      <c r="D2" s="2">
        <v>45444</v>
      </c>
      <c r="E2" t="s">
        <v>63</v>
      </c>
      <c r="G2">
        <v>1</v>
      </c>
      <c r="H2">
        <v>10</v>
      </c>
      <c r="I2">
        <f t="shared" ref="I2:I9" si="0">H2*2</f>
        <v>20</v>
      </c>
    </row>
    <row r="3">
      <c r="A3" t="s">
        <v>49</v>
      </c>
      <c r="B3" s="4">
        <f>SUMIFS(Data!$F$2:$F$12,Data!$A$2:$A$12,"east")</f>
        <v>77.75</v>
      </c>
      <c r="D3" s="4">
        <f>SUMIFS(Data!$F$2:$F$12,Data!$A$2:$A$12,"WEST")</f>
        <v>183</v>
      </c>
      <c r="E3" t="s">
        <v>64</v>
      </c>
      <c r="G3">
        <v>2</v>
      </c>
      <c r="H3">
        <v>20</v>
      </c>
      <c r="I3">
        <f t="shared" si="0"/>
        <v>40</v>
      </c>
    </row>
    <row r="4">
      <c r="A4" t="s">
        <v>50</v>
      </c>
      <c r="B4" s="4">
        <f>SUMIFS(Data!$F$2:$F$12,Data!$C$2:$C$12,"&gt;="&amp;A1)</f>
        <v>335.75</v>
      </c>
      <c r="D4" s="4">
        <f>SUMIFS(Data!$F$2:$F$12,Data!$C$2:$C$12,"&gt;="&amp;D1)</f>
        <v>232.5</v>
      </c>
      <c r="E4" t="s">
        <v>65</v>
      </c>
      <c r="G4">
        <v>3</v>
      </c>
      <c r="H4">
        <v>30</v>
      </c>
      <c r="I4">
        <f t="shared" si="0"/>
        <v>60</v>
      </c>
    </row>
    <row r="5">
      <c r="A5" t="s">
        <v>51</v>
      </c>
      <c r="B5" s="4">
        <f>SUMIFS(Data!$F$2:$F$12,Data!$A$2:$A$12,"*st")</f>
        <v>260.75</v>
      </c>
      <c r="D5" s="4">
        <f>SUMIFS(Data!$F$2:$F$12,Data!$A$2:$A$12,"N*")</f>
        <v>54.5</v>
      </c>
      <c r="E5" t="s">
        <v>66</v>
      </c>
      <c r="G5">
        <v>4</v>
      </c>
      <c r="H5">
        <v>40</v>
      </c>
      <c r="I5">
        <f t="shared" si="0"/>
        <v>80</v>
      </c>
    </row>
    <row r="6">
      <c r="A6" t="s">
        <v>52</v>
      </c>
      <c r="B6" s="4">
        <f>SUMIFS(Data!$F$2:$F$12,Data!$A$2:$A$12,"")</f>
        <v>41</v>
      </c>
      <c r="D6" s="4">
        <f>SUMIFS(Data!$F$2:$F$12,Data!$A$2:$A$12,"&lt;&gt;")</f>
        <v>315.25</v>
      </c>
      <c r="E6" t="s">
        <v>67</v>
      </c>
      <c r="G6">
        <v>5</v>
      </c>
      <c r="H6">
        <v>50</v>
      </c>
      <c r="I6">
        <v>999</v>
      </c>
    </row>
    <row r="7">
      <c r="A7" t="s">
        <v>53</v>
      </c>
      <c r="B7">
        <f>AVERAGE(Data!C2:C12)</f>
        <v>2.888888888888889</v>
      </c>
      <c r="D7">
        <f>AVERAGEIFS(Data!$C$2:$C$12,Data!$A$2:$A$12,"west")</f>
        <v>5.5</v>
      </c>
      <c r="E7" t="s">
        <v>68</v>
      </c>
      <c r="G7">
        <v>6</v>
      </c>
      <c r="H7">
        <v>60</v>
      </c>
      <c r="I7">
        <f t="shared" si="0"/>
        <v>120</v>
      </c>
    </row>
    <row r="8">
      <c r="A8" t="s">
        <v>54</v>
      </c>
      <c r="B8">
        <f>COUNT(Data!C2:C12)</f>
        <v>9</v>
      </c>
      <c r="D8">
        <f>COUNTIFS(Data!$A$2:$A$12,"WEST",Data!$C$2:$C$12,"&gt;=0")</f>
        <v>2</v>
      </c>
      <c r="E8" t="s">
        <v>69</v>
      </c>
      <c r="G8">
        <v>7</v>
      </c>
      <c r="H8">
        <v>70</v>
      </c>
      <c r="I8">
        <f t="shared" si="0"/>
        <v>140</v>
      </c>
    </row>
    <row r="9">
      <c r="A9" t="s">
        <v>55</v>
      </c>
      <c r="B9">
        <f>COUNTA(Data!C2:C12)</f>
        <v>10</v>
      </c>
      <c r="D9">
        <f>COUNTIFS(Data!$A$2:$A$12,"west",Data!$C$2:$C$12,"&lt;&gt;")</f>
        <v>3</v>
      </c>
      <c r="E9" t="s">
        <v>70</v>
      </c>
      <c r="G9">
        <v>8</v>
      </c>
      <c r="H9">
        <v>80</v>
      </c>
      <c r="I9">
        <f t="shared" si="0"/>
        <v>160</v>
      </c>
    </row>
    <row r="10">
      <c r="A10" t="s">
        <v>56</v>
      </c>
      <c r="B10">
        <f>COUNTIF(Data!C:C,1)</f>
        <v>3</v>
      </c>
      <c r="D10">
        <f>COUNTIF(Data!C:C,"2")</f>
        <v>3</v>
      </c>
      <c r="E10" t="s">
        <v>71</v>
      </c>
    </row>
    <row r="11">
      <c r="A11" t="s">
        <v>57</v>
      </c>
      <c r="B11">
        <f>COUNTIF(Data!A:A,"east")</f>
        <v>5</v>
      </c>
      <c r="D11">
        <f>COUNTIF(Data!A:A,"NORTH")</f>
        <v>2</v>
      </c>
      <c r="E11" t="s">
        <v>72</v>
      </c>
    </row>
    <row r="12">
      <c r="A12" t="s">
        <v>58</v>
      </c>
      <c r="B12" s="4">
        <f>SUM(Data!F:F)</f>
        <v>712.5</v>
      </c>
      <c r="D12" s="4">
        <f>SUMIFS(Data!F:F,Data!A:A,"west")</f>
        <v>183</v>
      </c>
      <c r="E12" t="s">
        <v>73</v>
      </c>
    </row>
    <row r="13">
      <c r="A13" t="s">
        <v>59</v>
      </c>
      <c r="B13" s="4">
        <f>B3*1.08</f>
        <v>83.97</v>
      </c>
      <c r="D13" s="4">
        <f>D3*1.08</f>
        <v>197.64000000000001</v>
      </c>
      <c r="E13" t="s">
        <v>74</v>
      </c>
    </row>
    <row r="14">
      <c r="A14" t="s">
        <v>60</v>
      </c>
      <c r="B14">
        <f>TODAY()-B2</f>
        <v>181</v>
      </c>
      <c r="D14">
        <f>TODAY()-D2</f>
        <v>29</v>
      </c>
      <c r="E14" t="s">
        <v>75</v>
      </c>
    </row>
    <row r="15">
      <c r="A15" t="s">
        <v>61</v>
      </c>
      <c r="B15" s="4">
        <f>SUMIFS(Data!$F$2:$F$12,Data!$D$2:$D$12,"&gt;="&amp;B2)</f>
        <v>289</v>
      </c>
      <c r="D15" s="4">
        <f>SUMIFS(Data!$F$2:$F$12,Data!$D$2:$D$12,"&gt;="&amp;D2)</f>
        <v>76</v>
      </c>
      <c r="E15" t="s">
        <v>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>
      <c r="A1" s="1" t="s">
        <v>80</v>
      </c>
      <c r="B1" s="1" t="s">
        <v>81</v>
      </c>
      <c r="D1" s="1" t="s">
        <v>90</v>
      </c>
    </row>
    <row r="2">
      <c r="A2" t="s">
        <v>82</v>
      </c>
      <c r="B2">
        <v>10000</v>
      </c>
      <c r="E2">
        <f>Forecast!F6</f>
        <v>12762.815625000001</v>
      </c>
    </row>
    <row r="3">
      <c r="A3" t="s">
        <v>83</v>
      </c>
      <c r="B3" s="3">
        <v>0.05</v>
      </c>
      <c r="D3" s="3">
        <v>0.02</v>
      </c>
      <c r="E3">
        <f t="dataTable" ref="E3:E6" dt2D="0" dtr="0" r1="B3"/>
        <v>11040.808032</v>
      </c>
    </row>
    <row r="4">
      <c r="A4" t="s">
        <v>84</v>
      </c>
      <c r="B4">
        <v>12000</v>
      </c>
      <c r="D4" s="3">
        <v>0.04</v>
      </c>
      <c r="E4">
        <v>12166.529024000001</v>
      </c>
    </row>
    <row r="5">
      <c r="A5" t="s">
        <v>85</v>
      </c>
      <c r="B5">
        <v>2000</v>
      </c>
      <c r="D5" s="3">
        <v>0.06</v>
      </c>
      <c r="E5">
        <v>13382.255776000004</v>
      </c>
    </row>
    <row r="6">
      <c r="A6" t="s">
        <v>86</v>
      </c>
      <c r="B6">
        <v>5</v>
      </c>
      <c r="D6" s="3">
        <v>0.08</v>
      </c>
      <c r="E6">
        <v>14693.280768000006</v>
      </c>
    </row>
    <row r="7">
      <c r="A7" t="s">
        <v>87</v>
      </c>
      <c r="B7" s="3">
        <v>0.06</v>
      </c>
    </row>
    <row r="10">
      <c r="A10" s="1" t="s">
        <v>88</v>
      </c>
      <c r="B10" s="1">
        <v>2025</v>
      </c>
      <c r="C10" s="1">
        <v>2026</v>
      </c>
      <c r="D10" s="1">
        <v>2027</v>
      </c>
      <c r="E10" s="1">
        <v>2028</v>
      </c>
      <c r="F10" s="1">
        <v>2029</v>
      </c>
    </row>
    <row r="11">
      <c r="A11" t="s">
        <v>89</v>
      </c>
      <c r="B11">
        <v>1000</v>
      </c>
      <c r="C11">
        <v>1200</v>
      </c>
      <c r="D11">
        <v>1500</v>
      </c>
      <c r="E11">
        <v>1800</v>
      </c>
      <c r="F11">
        <v>2000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>
      <c r="A1" s="1" t="s">
        <v>91</v>
      </c>
      <c r="B1" s="1">
        <v>2025</v>
      </c>
      <c r="C1" s="1">
        <v>2026</v>
      </c>
      <c r="D1" s="1">
        <v>2027</v>
      </c>
      <c r="E1" s="1">
        <v>2028</v>
      </c>
      <c r="F1" s="1">
        <v>2029</v>
      </c>
    </row>
    <row r="2">
      <c r="A2" t="s">
        <v>92</v>
      </c>
      <c r="B2">
        <f>Assumptions!$B$2</f>
        <v>10000</v>
      </c>
      <c r="C2">
        <f t="shared" ref="C2:F2" si="1">B5</f>
        <v>11649.48452759</v>
      </c>
      <c r="D2">
        <f t="shared" si="1"/>
        <v>13607.184591541909</v>
      </c>
      <c r="E2">
        <f t="shared" si="1"/>
        <v>15995.25785358499</v>
      </c>
      <c r="F2">
        <f t="shared" si="1"/>
        <v>18840.325335948433</v>
      </c>
    </row>
    <row r="3">
      <c r="A3" t="s">
        <v>89</v>
      </c>
      <c r="B3">
        <f t="shared" ref="B3:F3" si="2">Assumptions!B11</f>
        <v>1000</v>
      </c>
      <c r="C3">
        <f t="shared" si="2"/>
        <v>1200</v>
      </c>
      <c r="D3">
        <f t="shared" si="2"/>
        <v>1500</v>
      </c>
      <c r="E3">
        <f t="shared" si="2"/>
        <v>1800</v>
      </c>
      <c r="F3">
        <f t="shared" si="2"/>
        <v>2000</v>
      </c>
    </row>
    <row r="4">
      <c r="A4" t="s">
        <v>93</v>
      </c>
      <c r="B4">
        <f t="shared" ref="B4:F4" si="3">Assumptions!$B$7*AVERAGE(B2,B5)</f>
        <v>649.4845275900001</v>
      </c>
      <c r="C4">
        <f t="shared" si="3"/>
        <v>757.7000639519088</v>
      </c>
      <c r="D4">
        <f t="shared" si="3"/>
        <v>888.0732620430803</v>
      </c>
      <c r="E4">
        <f t="shared" si="3"/>
        <v>1045.0674823634436</v>
      </c>
      <c r="F4">
        <f t="shared" si="3"/>
        <v>1227.236602631207</v>
      </c>
    </row>
    <row r="5">
      <c r="A5" t="s">
        <v>94</v>
      </c>
      <c r="B5">
        <f t="shared" ref="B5:F5" si="4">B2+B3+B4</f>
        <v>11649.48452759</v>
      </c>
      <c r="C5">
        <f t="shared" si="4"/>
        <v>13607.184591541909</v>
      </c>
      <c r="D5">
        <f t="shared" si="4"/>
        <v>15995.25785358499</v>
      </c>
      <c r="E5">
        <f t="shared" si="4"/>
        <v>18840.325335948433</v>
      </c>
      <c r="F5">
        <f t="shared" si="4"/>
        <v>22067.56193857964</v>
      </c>
    </row>
    <row r="6">
      <c r="A6" t="s">
        <v>95</v>
      </c>
      <c r="B6">
        <f>Assumptions!$B$2*(1+GrowthRate)</f>
        <v>10500</v>
      </c>
      <c r="C6">
        <f t="shared" ref="C6:F6" si="5">B6*(1+GrowthRate)</f>
        <v>11025</v>
      </c>
      <c r="D6">
        <f t="shared" si="5"/>
        <v>11576.25</v>
      </c>
      <c r="E6">
        <f t="shared" si="5"/>
        <v>12155.0625</v>
      </c>
      <c r="F6">
        <f t="shared" si="5"/>
        <v>12762.815625000001</v>
      </c>
    </row>
    <row r="7">
      <c r="A7" t="s">
        <v>96</v>
      </c>
      <c r="B7">
        <f t="shared" ref="B7:F7" si="6">(Assumptions!$B$4-Assumptions!$B$5)/Assumptions!$B$6</f>
        <v>2000</v>
      </c>
      <c r="C7">
        <f t="shared" si="6"/>
        <v>2000</v>
      </c>
      <c r="D7">
        <f t="shared" si="6"/>
        <v>2000</v>
      </c>
      <c r="E7">
        <f t="shared" si="6"/>
        <v>2000</v>
      </c>
      <c r="F7">
        <f t="shared" si="6"/>
        <v>2000</v>
      </c>
    </row>
    <row r="8">
      <c r="A8" t="s">
        <v>97</v>
      </c>
      <c r="B8">
        <f>Assumptions!$B$4-B7</f>
        <v>10000</v>
      </c>
      <c r="C8">
        <f t="shared" ref="C8:F8" si="7">B8-C7</f>
        <v>8000</v>
      </c>
      <c r="D8">
        <f t="shared" si="7"/>
        <v>6000</v>
      </c>
      <c r="E8">
        <f t="shared" si="7"/>
        <v>4000</v>
      </c>
      <c r="F8">
        <f t="shared" si="7"/>
        <v>2000</v>
      </c>
    </row>
    <row r="9">
      <c r="A9" t="s">
        <v>98</v>
      </c>
      <c r="B9">
        <f t="shared" ref="B9:F9" si="8">SUM($B$3:B3)</f>
        <v>1000</v>
      </c>
      <c r="C9">
        <f t="shared" si="8"/>
        <v>2200</v>
      </c>
      <c r="D9">
        <f t="shared" si="8"/>
        <v>3700</v>
      </c>
      <c r="E9">
        <f t="shared" si="8"/>
        <v>5500</v>
      </c>
      <c r="F9">
        <f t="shared" si="8"/>
        <v>7500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001"/>
  <sheetViews>
    <sheetView workbookViewId="0"/>
  </sheetViews>
  <sheetFormatPr defaultRowHeight="15"/>
  <sheetData>
    <row r="1">
      <c r="A1" s="1" t="s">
        <v>99</v>
      </c>
      <c r="B1" s="1" t="s">
        <v>81</v>
      </c>
      <c r="C1" s="1" t="s">
        <v>100</v>
      </c>
    </row>
    <row r="2">
      <c r="A2">
        <v>1</v>
      </c>
      <c r="B2">
        <f t="shared" ref="B2:B1001" si="9">_xlfn.NORM.INV(RAND(),100,15)</f>
        <v>103.52137531831256</v>
      </c>
      <c r="C2">
        <f>AVERAGE(B2:B1001)</f>
        <v>99.38184901085883</v>
      </c>
    </row>
    <row r="3">
      <c r="A3">
        <v>2</v>
      </c>
      <c r="B3">
        <f t="shared" si="9"/>
        <v>97.14402071279821</v>
      </c>
    </row>
    <row r="4">
      <c r="A4">
        <v>3</v>
      </c>
      <c r="B4">
        <f t="shared" si="9"/>
        <v>119.79011051163661</v>
      </c>
    </row>
    <row r="5">
      <c r="A5">
        <v>4</v>
      </c>
      <c r="B5">
        <f t="shared" si="9"/>
        <v>69.39104532804856</v>
      </c>
    </row>
    <row r="6">
      <c r="A6">
        <v>5</v>
      </c>
      <c r="B6">
        <f t="shared" si="9"/>
        <v>95.21634608768301</v>
      </c>
    </row>
    <row r="7">
      <c r="A7">
        <v>6</v>
      </c>
      <c r="B7">
        <f t="shared" si="9"/>
        <v>118.40357421500727</v>
      </c>
    </row>
    <row r="8">
      <c r="A8">
        <v>7</v>
      </c>
      <c r="B8">
        <f t="shared" si="9"/>
        <v>123.52613766586957</v>
      </c>
    </row>
    <row r="9">
      <c r="A9">
        <v>8</v>
      </c>
      <c r="B9">
        <f t="shared" si="9"/>
        <v>85.0664994360488</v>
      </c>
    </row>
    <row r="10">
      <c r="A10">
        <v>9</v>
      </c>
      <c r="B10">
        <f t="shared" si="9"/>
        <v>104.96235258493007</v>
      </c>
    </row>
    <row r="11">
      <c r="A11">
        <v>10</v>
      </c>
      <c r="B11">
        <f t="shared" si="9"/>
        <v>104.23006264458925</v>
      </c>
    </row>
    <row r="12">
      <c r="A12">
        <v>11</v>
      </c>
      <c r="B12">
        <f t="shared" si="9"/>
        <v>126.67405891861512</v>
      </c>
    </row>
    <row r="13">
      <c r="A13">
        <v>12</v>
      </c>
      <c r="B13">
        <f t="shared" si="9"/>
        <v>85.05694373440242</v>
      </c>
    </row>
    <row r="14">
      <c r="A14">
        <v>13</v>
      </c>
      <c r="B14">
        <f t="shared" si="9"/>
        <v>115.46928595214587</v>
      </c>
    </row>
    <row r="15">
      <c r="A15">
        <v>14</v>
      </c>
      <c r="B15">
        <f t="shared" si="9"/>
        <v>75.54600489629993</v>
      </c>
    </row>
    <row r="16">
      <c r="A16">
        <v>15</v>
      </c>
      <c r="B16">
        <f t="shared" si="9"/>
        <v>77.97198571608527</v>
      </c>
    </row>
    <row r="17">
      <c r="A17">
        <v>16</v>
      </c>
      <c r="B17">
        <f t="shared" si="9"/>
        <v>132.23975158333602</v>
      </c>
    </row>
    <row r="18">
      <c r="A18">
        <v>17</v>
      </c>
      <c r="B18">
        <f t="shared" si="9"/>
        <v>136.58277333994462</v>
      </c>
    </row>
    <row r="19">
      <c r="A19">
        <v>18</v>
      </c>
      <c r="B19">
        <f t="shared" si="9"/>
        <v>82.29579323542511</v>
      </c>
    </row>
    <row r="20">
      <c r="A20">
        <v>19</v>
      </c>
      <c r="B20">
        <f t="shared" si="9"/>
        <v>101.59731374564498</v>
      </c>
    </row>
    <row r="21">
      <c r="A21">
        <v>20</v>
      </c>
      <c r="B21">
        <f t="shared" si="9"/>
        <v>88.89236145898586</v>
      </c>
    </row>
    <row r="22">
      <c r="A22">
        <v>21</v>
      </c>
      <c r="B22">
        <f t="shared" si="9"/>
        <v>99.99864387534305</v>
      </c>
    </row>
    <row r="23">
      <c r="A23">
        <v>22</v>
      </c>
      <c r="B23">
        <f t="shared" si="9"/>
        <v>103.96245350850027</v>
      </c>
    </row>
    <row r="24">
      <c r="A24">
        <v>23</v>
      </c>
      <c r="B24">
        <f t="shared" si="9"/>
        <v>105.26373100875404</v>
      </c>
    </row>
    <row r="25">
      <c r="A25">
        <v>24</v>
      </c>
      <c r="B25">
        <f t="shared" si="9"/>
        <v>94.65439480282748</v>
      </c>
    </row>
    <row r="26">
      <c r="A26">
        <v>25</v>
      </c>
      <c r="B26">
        <f t="shared" si="9"/>
        <v>88.39552823748555</v>
      </c>
    </row>
    <row r="27">
      <c r="A27">
        <v>26</v>
      </c>
      <c r="B27">
        <f t="shared" si="9"/>
        <v>102.93648204491319</v>
      </c>
    </row>
    <row r="28">
      <c r="A28">
        <v>27</v>
      </c>
      <c r="B28">
        <f t="shared" si="9"/>
        <v>120.18160612395161</v>
      </c>
    </row>
    <row r="29">
      <c r="A29">
        <v>28</v>
      </c>
      <c r="B29">
        <f t="shared" si="9"/>
        <v>114.4508229652921</v>
      </c>
    </row>
    <row r="30">
      <c r="A30">
        <v>29</v>
      </c>
      <c r="B30">
        <f t="shared" si="9"/>
        <v>125.09873820267957</v>
      </c>
    </row>
    <row r="31">
      <c r="A31">
        <v>30</v>
      </c>
      <c r="B31">
        <f t="shared" si="9"/>
        <v>127.95027051955962</v>
      </c>
    </row>
    <row r="32">
      <c r="A32">
        <v>31</v>
      </c>
      <c r="B32">
        <f t="shared" si="9"/>
        <v>105.96959092588668</v>
      </c>
    </row>
    <row r="33">
      <c r="A33">
        <v>32</v>
      </c>
      <c r="B33">
        <f t="shared" si="9"/>
        <v>100.93548567307901</v>
      </c>
    </row>
    <row r="34">
      <c r="A34">
        <v>33</v>
      </c>
      <c r="B34">
        <f t="shared" si="9"/>
        <v>85.49647329091131</v>
      </c>
    </row>
    <row r="35">
      <c r="A35">
        <v>34</v>
      </c>
      <c r="B35">
        <f t="shared" si="9"/>
        <v>102.10772531313815</v>
      </c>
    </row>
    <row r="36">
      <c r="A36">
        <v>35</v>
      </c>
      <c r="B36">
        <f t="shared" si="9"/>
        <v>94.78220578127942</v>
      </c>
    </row>
    <row r="37">
      <c r="A37">
        <v>36</v>
      </c>
      <c r="B37">
        <f t="shared" si="9"/>
        <v>96.32399485323326</v>
      </c>
    </row>
    <row r="38">
      <c r="A38">
        <v>37</v>
      </c>
      <c r="B38">
        <f t="shared" si="9"/>
        <v>113.14829037217926</v>
      </c>
    </row>
    <row r="39">
      <c r="A39">
        <v>38</v>
      </c>
      <c r="B39">
        <f t="shared" si="9"/>
        <v>106.04643080042196</v>
      </c>
    </row>
    <row r="40">
      <c r="A40">
        <v>39</v>
      </c>
      <c r="B40">
        <f t="shared" si="9"/>
        <v>129.31550794739968</v>
      </c>
    </row>
    <row r="41">
      <c r="A41">
        <v>40</v>
      </c>
      <c r="B41">
        <f t="shared" si="9"/>
        <v>96.03646033318465</v>
      </c>
    </row>
    <row r="42">
      <c r="A42">
        <v>41</v>
      </c>
      <c r="B42">
        <f t="shared" si="9"/>
        <v>104.48448878230236</v>
      </c>
    </row>
    <row r="43">
      <c r="A43">
        <v>42</v>
      </c>
      <c r="B43">
        <f t="shared" si="9"/>
        <v>79.51334732600267</v>
      </c>
    </row>
    <row r="44">
      <c r="A44">
        <v>43</v>
      </c>
      <c r="B44">
        <f t="shared" si="9"/>
        <v>101.59664093590547</v>
      </c>
    </row>
    <row r="45">
      <c r="A45">
        <v>44</v>
      </c>
      <c r="B45">
        <f t="shared" si="9"/>
        <v>102.4871870495881</v>
      </c>
    </row>
    <row r="46">
      <c r="A46">
        <v>45</v>
      </c>
      <c r="B46">
        <f t="shared" si="9"/>
        <v>114.39171839582924</v>
      </c>
    </row>
    <row r="47">
      <c r="A47">
        <v>46</v>
      </c>
      <c r="B47">
        <f t="shared" si="9"/>
        <v>85.94031492689128</v>
      </c>
    </row>
    <row r="48">
      <c r="A48">
        <v>47</v>
      </c>
      <c r="B48">
        <f t="shared" si="9"/>
        <v>85.58676737763899</v>
      </c>
    </row>
    <row r="49">
      <c r="A49">
        <v>48</v>
      </c>
      <c r="B49">
        <f t="shared" si="9"/>
        <v>108.43809691621713</v>
      </c>
    </row>
    <row r="50">
      <c r="A50">
        <v>49</v>
      </c>
      <c r="B50">
        <f t="shared" si="9"/>
        <v>99.91684808615068</v>
      </c>
    </row>
    <row r="51">
      <c r="A51">
        <v>50</v>
      </c>
      <c r="B51">
        <f t="shared" si="9"/>
        <v>99.67955291914848</v>
      </c>
    </row>
    <row r="52">
      <c r="A52">
        <v>51</v>
      </c>
      <c r="B52">
        <f t="shared" si="9"/>
        <v>96.00154647516037</v>
      </c>
    </row>
    <row r="53">
      <c r="A53">
        <v>52</v>
      </c>
      <c r="B53">
        <f t="shared" si="9"/>
        <v>93.16310928693203</v>
      </c>
    </row>
    <row r="54">
      <c r="A54">
        <v>53</v>
      </c>
      <c r="B54">
        <f t="shared" si="9"/>
        <v>114.87857186780951</v>
      </c>
    </row>
    <row r="55">
      <c r="A55">
        <v>54</v>
      </c>
      <c r="B55">
        <f t="shared" si="9"/>
        <v>103.3164878639287</v>
      </c>
    </row>
    <row r="56">
      <c r="A56">
        <v>55</v>
      </c>
      <c r="B56">
        <f t="shared" si="9"/>
        <v>74.32089788344871</v>
      </c>
    </row>
    <row r="57">
      <c r="A57">
        <v>56</v>
      </c>
      <c r="B57">
        <f t="shared" si="9"/>
        <v>92.52980232113596</v>
      </c>
    </row>
    <row r="58">
      <c r="A58">
        <v>57</v>
      </c>
      <c r="B58">
        <f t="shared" si="9"/>
        <v>91.11734436033079</v>
      </c>
    </row>
    <row r="59">
      <c r="A59">
        <v>58</v>
      </c>
      <c r="B59">
        <f t="shared" si="9"/>
        <v>65.25063768205698</v>
      </c>
    </row>
    <row r="60">
      <c r="A60">
        <v>59</v>
      </c>
      <c r="B60">
        <f t="shared" si="9"/>
        <v>84.14702418953343</v>
      </c>
    </row>
    <row r="61">
      <c r="A61">
        <v>60</v>
      </c>
      <c r="B61">
        <f t="shared" si="9"/>
        <v>108.12422408098942</v>
      </c>
    </row>
    <row r="62">
      <c r="A62">
        <v>61</v>
      </c>
      <c r="B62">
        <f t="shared" si="9"/>
        <v>75.24421621399867</v>
      </c>
    </row>
    <row r="63">
      <c r="A63">
        <v>62</v>
      </c>
      <c r="B63">
        <f t="shared" si="9"/>
        <v>109.31296261483739</v>
      </c>
    </row>
    <row r="64">
      <c r="A64">
        <v>63</v>
      </c>
      <c r="B64">
        <f t="shared" si="9"/>
        <v>111.3713781138471</v>
      </c>
    </row>
    <row r="65">
      <c r="A65">
        <v>64</v>
      </c>
      <c r="B65">
        <f t="shared" si="9"/>
        <v>111.44004953763425</v>
      </c>
    </row>
    <row r="66">
      <c r="A66">
        <v>65</v>
      </c>
      <c r="B66">
        <f t="shared" si="9"/>
        <v>128.06973683571096</v>
      </c>
    </row>
    <row r="67">
      <c r="A67">
        <v>66</v>
      </c>
      <c r="B67">
        <f t="shared" si="9"/>
        <v>107.06363943346896</v>
      </c>
    </row>
    <row r="68">
      <c r="A68">
        <v>67</v>
      </c>
      <c r="B68">
        <f t="shared" si="9"/>
        <v>69.5954339977548</v>
      </c>
    </row>
    <row r="69">
      <c r="A69">
        <v>68</v>
      </c>
      <c r="B69">
        <f t="shared" si="9"/>
        <v>78.01350397957977</v>
      </c>
    </row>
    <row r="70">
      <c r="A70">
        <v>69</v>
      </c>
      <c r="B70">
        <f t="shared" si="9"/>
        <v>92.01385590607599</v>
      </c>
    </row>
    <row r="71">
      <c r="A71">
        <v>70</v>
      </c>
      <c r="B71">
        <f t="shared" si="9"/>
        <v>111.02108622317114</v>
      </c>
    </row>
    <row r="72">
      <c r="A72">
        <v>71</v>
      </c>
      <c r="B72">
        <f t="shared" si="9"/>
        <v>70.16462746379341</v>
      </c>
    </row>
    <row r="73">
      <c r="A73">
        <v>72</v>
      </c>
      <c r="B73">
        <f t="shared" si="9"/>
        <v>102.0638997199513</v>
      </c>
    </row>
    <row r="74">
      <c r="A74">
        <v>73</v>
      </c>
      <c r="B74">
        <f t="shared" si="9"/>
        <v>104.15395261628942</v>
      </c>
    </row>
    <row r="75">
      <c r="A75">
        <v>74</v>
      </c>
      <c r="B75">
        <f t="shared" si="9"/>
        <v>98.94396898970575</v>
      </c>
    </row>
    <row r="76">
      <c r="A76">
        <v>75</v>
      </c>
      <c r="B76">
        <f t="shared" si="9"/>
        <v>100.55031845357108</v>
      </c>
    </row>
    <row r="77">
      <c r="A77">
        <v>76</v>
      </c>
      <c r="B77">
        <f t="shared" si="9"/>
        <v>109.6289272412416</v>
      </c>
    </row>
    <row r="78">
      <c r="A78">
        <v>77</v>
      </c>
      <c r="B78">
        <f t="shared" si="9"/>
        <v>99.0757084835273</v>
      </c>
    </row>
    <row r="79">
      <c r="A79">
        <v>78</v>
      </c>
      <c r="B79">
        <f t="shared" si="9"/>
        <v>88.91984812031242</v>
      </c>
    </row>
    <row r="80">
      <c r="A80">
        <v>79</v>
      </c>
      <c r="B80">
        <f t="shared" si="9"/>
        <v>74.27342217625886</v>
      </c>
    </row>
    <row r="81">
      <c r="A81">
        <v>80</v>
      </c>
      <c r="B81">
        <f t="shared" si="9"/>
        <v>74.50620682773703</v>
      </c>
    </row>
    <row r="82">
      <c r="A82">
        <v>81</v>
      </c>
      <c r="B82">
        <f t="shared" si="9"/>
        <v>101.96316023947016</v>
      </c>
    </row>
    <row r="83">
      <c r="A83">
        <v>82</v>
      </c>
      <c r="B83">
        <f t="shared" si="9"/>
        <v>97.35007405654855</v>
      </c>
    </row>
    <row r="84">
      <c r="A84">
        <v>83</v>
      </c>
      <c r="B84">
        <f t="shared" si="9"/>
        <v>115.65038911171266</v>
      </c>
    </row>
    <row r="85">
      <c r="A85">
        <v>84</v>
      </c>
      <c r="B85">
        <f t="shared" si="9"/>
        <v>92.1101266922255</v>
      </c>
    </row>
    <row r="86">
      <c r="A86">
        <v>85</v>
      </c>
      <c r="B86">
        <f t="shared" si="9"/>
        <v>111.82421228211543</v>
      </c>
    </row>
    <row r="87">
      <c r="A87">
        <v>86</v>
      </c>
      <c r="B87">
        <f t="shared" si="9"/>
        <v>92.91525195979986</v>
      </c>
    </row>
    <row r="88">
      <c r="A88">
        <v>87</v>
      </c>
      <c r="B88">
        <f t="shared" si="9"/>
        <v>108.88873604449837</v>
      </c>
    </row>
    <row r="89">
      <c r="A89">
        <v>88</v>
      </c>
      <c r="B89">
        <f t="shared" si="9"/>
        <v>66.86585331311858</v>
      </c>
    </row>
    <row r="90">
      <c r="A90">
        <v>89</v>
      </c>
      <c r="B90">
        <f t="shared" si="9"/>
        <v>114.6738504826351</v>
      </c>
    </row>
    <row r="91">
      <c r="A91">
        <v>90</v>
      </c>
      <c r="B91">
        <f t="shared" si="9"/>
        <v>88.18840706468738</v>
      </c>
    </row>
    <row r="92">
      <c r="A92">
        <v>91</v>
      </c>
      <c r="B92">
        <f t="shared" si="9"/>
        <v>119.38818008191612</v>
      </c>
    </row>
    <row r="93">
      <c r="A93">
        <v>92</v>
      </c>
      <c r="B93">
        <f t="shared" si="9"/>
        <v>103.3165335146116</v>
      </c>
    </row>
    <row r="94">
      <c r="A94">
        <v>93</v>
      </c>
      <c r="B94">
        <f t="shared" si="9"/>
        <v>91.30416186315884</v>
      </c>
    </row>
    <row r="95">
      <c r="A95">
        <v>94</v>
      </c>
      <c r="B95">
        <f t="shared" si="9"/>
        <v>113.44454697642784</v>
      </c>
    </row>
    <row r="96">
      <c r="A96">
        <v>95</v>
      </c>
      <c r="B96">
        <f t="shared" si="9"/>
        <v>100.81819300228993</v>
      </c>
    </row>
    <row r="97">
      <c r="A97">
        <v>96</v>
      </c>
      <c r="B97">
        <f t="shared" si="9"/>
        <v>100.01710668395212</v>
      </c>
    </row>
    <row r="98">
      <c r="A98">
        <v>97</v>
      </c>
      <c r="B98">
        <f t="shared" si="9"/>
        <v>92.9006914271239</v>
      </c>
    </row>
    <row r="99">
      <c r="A99">
        <v>98</v>
      </c>
      <c r="B99">
        <f t="shared" si="9"/>
        <v>101.73650288545404</v>
      </c>
    </row>
    <row r="100">
      <c r="A100">
        <v>99</v>
      </c>
      <c r="B100">
        <f t="shared" si="9"/>
        <v>118.09730847378265</v>
      </c>
    </row>
    <row r="101">
      <c r="A101">
        <v>100</v>
      </c>
      <c r="B101">
        <f t="shared" si="9"/>
        <v>81.94695352992238</v>
      </c>
    </row>
    <row r="102">
      <c r="A102">
        <v>101</v>
      </c>
      <c r="B102">
        <f t="shared" si="9"/>
        <v>99.88599400746837</v>
      </c>
    </row>
    <row r="103">
      <c r="A103">
        <v>102</v>
      </c>
      <c r="B103">
        <f t="shared" si="9"/>
        <v>105.5094605844384</v>
      </c>
    </row>
    <row r="104">
      <c r="A104">
        <v>103</v>
      </c>
      <c r="B104">
        <f t="shared" si="9"/>
        <v>89.67688317511323</v>
      </c>
    </row>
    <row r="105">
      <c r="A105">
        <v>104</v>
      </c>
      <c r="B105">
        <f t="shared" si="9"/>
        <v>122.18062069319677</v>
      </c>
    </row>
    <row r="106">
      <c r="A106">
        <v>105</v>
      </c>
      <c r="B106">
        <f t="shared" si="9"/>
        <v>102.22941648524055</v>
      </c>
    </row>
    <row r="107">
      <c r="A107">
        <v>106</v>
      </c>
      <c r="B107">
        <f t="shared" si="9"/>
        <v>118.97089739222216</v>
      </c>
    </row>
    <row r="108">
      <c r="A108">
        <v>107</v>
      </c>
      <c r="B108">
        <f t="shared" si="9"/>
        <v>115.69203038577103</v>
      </c>
    </row>
    <row r="109">
      <c r="A109">
        <v>108</v>
      </c>
      <c r="B109">
        <f t="shared" si="9"/>
        <v>78.58334605179951</v>
      </c>
    </row>
    <row r="110">
      <c r="A110">
        <v>109</v>
      </c>
      <c r="B110">
        <f t="shared" si="9"/>
        <v>89.13230237054303</v>
      </c>
    </row>
    <row r="111">
      <c r="A111">
        <v>110</v>
      </c>
      <c r="B111">
        <f t="shared" si="9"/>
        <v>104.32072818160198</v>
      </c>
    </row>
    <row r="112">
      <c r="A112">
        <v>111</v>
      </c>
      <c r="B112">
        <f t="shared" si="9"/>
        <v>84.8487318141423</v>
      </c>
    </row>
    <row r="113">
      <c r="A113">
        <v>112</v>
      </c>
      <c r="B113">
        <f t="shared" si="9"/>
        <v>63.763940324046494</v>
      </c>
    </row>
    <row r="114">
      <c r="A114">
        <v>113</v>
      </c>
      <c r="B114">
        <f t="shared" si="9"/>
        <v>100.03556555441794</v>
      </c>
    </row>
    <row r="115">
      <c r="A115">
        <v>114</v>
      </c>
      <c r="B115">
        <f t="shared" si="9"/>
        <v>97.72084597639447</v>
      </c>
    </row>
    <row r="116">
      <c r="A116">
        <v>115</v>
      </c>
      <c r="B116">
        <f t="shared" si="9"/>
        <v>93.11046925985964</v>
      </c>
    </row>
    <row r="117">
      <c r="A117">
        <v>116</v>
      </c>
      <c r="B117">
        <f t="shared" si="9"/>
        <v>91.41756221510519</v>
      </c>
    </row>
    <row r="118">
      <c r="A118">
        <v>117</v>
      </c>
      <c r="B118">
        <f t="shared" si="9"/>
        <v>101.51445216146149</v>
      </c>
    </row>
    <row r="119">
      <c r="A119">
        <v>118</v>
      </c>
      <c r="B119">
        <f t="shared" si="9"/>
        <v>101.81510472485458</v>
      </c>
    </row>
    <row r="120">
      <c r="A120">
        <v>119</v>
      </c>
      <c r="B120">
        <f t="shared" si="9"/>
        <v>109.87479741701574</v>
      </c>
    </row>
    <row r="121">
      <c r="A121">
        <v>120</v>
      </c>
      <c r="B121">
        <f t="shared" si="9"/>
        <v>80.93503628385685</v>
      </c>
    </row>
    <row r="122">
      <c r="A122">
        <v>121</v>
      </c>
      <c r="B122">
        <f t="shared" si="9"/>
        <v>101.62256667839833</v>
      </c>
    </row>
    <row r="123">
      <c r="A123">
        <v>122</v>
      </c>
      <c r="B123">
        <f t="shared" si="9"/>
        <v>104.48511335045673</v>
      </c>
    </row>
    <row r="124">
      <c r="A124">
        <v>123</v>
      </c>
      <c r="B124">
        <f t="shared" si="9"/>
        <v>89.79847815117286</v>
      </c>
    </row>
    <row r="125">
      <c r="A125">
        <v>124</v>
      </c>
      <c r="B125">
        <f t="shared" si="9"/>
        <v>114.47247869912121</v>
      </c>
    </row>
    <row r="126">
      <c r="A126">
        <v>125</v>
      </c>
      <c r="B126">
        <f t="shared" si="9"/>
        <v>88.76460037346305</v>
      </c>
    </row>
    <row r="127">
      <c r="A127">
        <v>126</v>
      </c>
      <c r="B127">
        <f t="shared" si="9"/>
        <v>100.75012039249957</v>
      </c>
    </row>
    <row r="128">
      <c r="A128">
        <v>127</v>
      </c>
      <c r="B128">
        <f t="shared" si="9"/>
        <v>125.34341763941897</v>
      </c>
    </row>
    <row r="129">
      <c r="A129">
        <v>128</v>
      </c>
      <c r="B129">
        <f t="shared" si="9"/>
        <v>120.29961282719597</v>
      </c>
    </row>
    <row r="130">
      <c r="A130">
        <v>129</v>
      </c>
      <c r="B130">
        <f t="shared" si="9"/>
        <v>101.43969616617328</v>
      </c>
    </row>
    <row r="131">
      <c r="A131">
        <v>130</v>
      </c>
      <c r="B131">
        <f t="shared" si="9"/>
        <v>115.14181804008882</v>
      </c>
    </row>
    <row r="132">
      <c r="A132">
        <v>131</v>
      </c>
      <c r="B132">
        <f t="shared" si="9"/>
        <v>109.94349679642039</v>
      </c>
    </row>
    <row r="133">
      <c r="A133">
        <v>132</v>
      </c>
      <c r="B133">
        <f t="shared" si="9"/>
        <v>98.01447666689229</v>
      </c>
    </row>
    <row r="134">
      <c r="A134">
        <v>133</v>
      </c>
      <c r="B134">
        <f t="shared" si="9"/>
        <v>103.5134137546162</v>
      </c>
    </row>
    <row r="135">
      <c r="A135">
        <v>134</v>
      </c>
      <c r="B135">
        <f t="shared" si="9"/>
        <v>91.59087861949874</v>
      </c>
    </row>
    <row r="136">
      <c r="A136">
        <v>135</v>
      </c>
      <c r="B136">
        <f t="shared" si="9"/>
        <v>94.38267211892062</v>
      </c>
    </row>
    <row r="137">
      <c r="A137">
        <v>136</v>
      </c>
      <c r="B137">
        <f t="shared" si="9"/>
        <v>105.78771532041708</v>
      </c>
    </row>
    <row r="138">
      <c r="A138">
        <v>137</v>
      </c>
      <c r="B138">
        <f t="shared" si="9"/>
        <v>82.09808104063478</v>
      </c>
    </row>
    <row r="139">
      <c r="A139">
        <v>138</v>
      </c>
      <c r="B139">
        <f t="shared" si="9"/>
        <v>101.60777886763165</v>
      </c>
    </row>
    <row r="140">
      <c r="A140">
        <v>139</v>
      </c>
      <c r="B140">
        <f t="shared" si="9"/>
        <v>58.31987383857776</v>
      </c>
    </row>
    <row r="141">
      <c r="A141">
        <v>140</v>
      </c>
      <c r="B141">
        <f t="shared" si="9"/>
        <v>81.03749117763616</v>
      </c>
    </row>
    <row r="142">
      <c r="A142">
        <v>141</v>
      </c>
      <c r="B142">
        <f t="shared" si="9"/>
        <v>80.3718808596464</v>
      </c>
    </row>
    <row r="143">
      <c r="A143">
        <v>142</v>
      </c>
      <c r="B143">
        <f t="shared" si="9"/>
        <v>114.04859660768264</v>
      </c>
    </row>
    <row r="144">
      <c r="A144">
        <v>143</v>
      </c>
      <c r="B144">
        <f t="shared" si="9"/>
        <v>75.55380469700545</v>
      </c>
    </row>
    <row r="145">
      <c r="A145">
        <v>144</v>
      </c>
      <c r="B145">
        <f t="shared" si="9"/>
        <v>126.06022676395132</v>
      </c>
    </row>
    <row r="146">
      <c r="A146">
        <v>145</v>
      </c>
      <c r="B146">
        <f t="shared" si="9"/>
        <v>111.84419634577849</v>
      </c>
    </row>
    <row r="147">
      <c r="A147">
        <v>146</v>
      </c>
      <c r="B147">
        <f t="shared" si="9"/>
        <v>91.90761972148171</v>
      </c>
    </row>
    <row r="148">
      <c r="A148">
        <v>147</v>
      </c>
      <c r="B148">
        <f t="shared" si="9"/>
        <v>98.51888463187376</v>
      </c>
    </row>
    <row r="149">
      <c r="A149">
        <v>148</v>
      </c>
      <c r="B149">
        <f t="shared" si="9"/>
        <v>92.1738647650966</v>
      </c>
    </row>
    <row r="150">
      <c r="A150">
        <v>149</v>
      </c>
      <c r="B150">
        <f t="shared" si="9"/>
        <v>97.95178558988955</v>
      </c>
    </row>
    <row r="151">
      <c r="A151">
        <v>150</v>
      </c>
      <c r="B151">
        <f t="shared" si="9"/>
        <v>111.16867015178569</v>
      </c>
    </row>
    <row r="152">
      <c r="A152">
        <v>151</v>
      </c>
      <c r="B152">
        <f t="shared" si="9"/>
        <v>96.50906428635282</v>
      </c>
    </row>
    <row r="153">
      <c r="A153">
        <v>152</v>
      </c>
      <c r="B153">
        <f t="shared" si="9"/>
        <v>94.51519123524547</v>
      </c>
    </row>
    <row r="154">
      <c r="A154">
        <v>153</v>
      </c>
      <c r="B154">
        <f t="shared" si="9"/>
        <v>74.07282688900216</v>
      </c>
    </row>
    <row r="155">
      <c r="A155">
        <v>154</v>
      </c>
      <c r="B155">
        <f t="shared" si="9"/>
        <v>90.30299789941989</v>
      </c>
    </row>
    <row r="156">
      <c r="A156">
        <v>155</v>
      </c>
      <c r="B156">
        <f t="shared" si="9"/>
        <v>83.47968714892353</v>
      </c>
    </row>
    <row r="157">
      <c r="A157">
        <v>156</v>
      </c>
      <c r="B157">
        <f t="shared" si="9"/>
        <v>63.15158923558662</v>
      </c>
    </row>
    <row r="158">
      <c r="A158">
        <v>157</v>
      </c>
      <c r="B158">
        <f t="shared" si="9"/>
        <v>113.3054915197181</v>
      </c>
    </row>
    <row r="159">
      <c r="A159">
        <v>158</v>
      </c>
      <c r="B159">
        <f t="shared" si="9"/>
        <v>67.52676170206331</v>
      </c>
    </row>
    <row r="160">
      <c r="A160">
        <v>159</v>
      </c>
      <c r="B160">
        <f t="shared" si="9"/>
        <v>77.67647161292005</v>
      </c>
    </row>
    <row r="161">
      <c r="A161">
        <v>160</v>
      </c>
      <c r="B161">
        <f t="shared" si="9"/>
        <v>82.91585707067762</v>
      </c>
    </row>
    <row r="162">
      <c r="A162">
        <v>161</v>
      </c>
      <c r="B162">
        <f t="shared" si="9"/>
        <v>85.20171482078325</v>
      </c>
    </row>
    <row r="163">
      <c r="A163">
        <v>162</v>
      </c>
      <c r="B163">
        <f t="shared" si="9"/>
        <v>109.24561979517217</v>
      </c>
    </row>
    <row r="164">
      <c r="A164">
        <v>163</v>
      </c>
      <c r="B164">
        <f t="shared" si="9"/>
        <v>146.1871563498515</v>
      </c>
    </row>
    <row r="165">
      <c r="A165">
        <v>164</v>
      </c>
      <c r="B165">
        <f t="shared" si="9"/>
        <v>139.5155294925996</v>
      </c>
    </row>
    <row r="166">
      <c r="A166">
        <v>165</v>
      </c>
      <c r="B166">
        <f t="shared" si="9"/>
        <v>115.40047463344993</v>
      </c>
    </row>
    <row r="167">
      <c r="A167">
        <v>166</v>
      </c>
      <c r="B167">
        <f t="shared" si="9"/>
        <v>100.34064464603681</v>
      </c>
    </row>
    <row r="168">
      <c r="A168">
        <v>167</v>
      </c>
      <c r="B168">
        <f t="shared" si="9"/>
        <v>102.41931173256297</v>
      </c>
    </row>
    <row r="169">
      <c r="A169">
        <v>168</v>
      </c>
      <c r="B169">
        <f t="shared" si="9"/>
        <v>134.18508998799558</v>
      </c>
    </row>
    <row r="170">
      <c r="A170">
        <v>169</v>
      </c>
      <c r="B170">
        <f t="shared" si="9"/>
        <v>82.08985013142448</v>
      </c>
    </row>
    <row r="171">
      <c r="A171">
        <v>170</v>
      </c>
      <c r="B171">
        <f t="shared" si="9"/>
        <v>112.0496832228927</v>
      </c>
    </row>
    <row r="172">
      <c r="A172">
        <v>171</v>
      </c>
      <c r="B172">
        <f t="shared" si="9"/>
        <v>112.66371816803527</v>
      </c>
    </row>
    <row r="173">
      <c r="A173">
        <v>172</v>
      </c>
      <c r="B173">
        <f t="shared" si="9"/>
        <v>97.28410133380717</v>
      </c>
    </row>
    <row r="174">
      <c r="A174">
        <v>173</v>
      </c>
      <c r="B174">
        <f t="shared" si="9"/>
        <v>88.07428081444081</v>
      </c>
    </row>
    <row r="175">
      <c r="A175">
        <v>174</v>
      </c>
      <c r="B175">
        <f t="shared" si="9"/>
        <v>106.46255303268862</v>
      </c>
    </row>
    <row r="176">
      <c r="A176">
        <v>175</v>
      </c>
      <c r="B176">
        <f t="shared" si="9"/>
        <v>109.53302421243458</v>
      </c>
    </row>
    <row r="177">
      <c r="A177">
        <v>176</v>
      </c>
      <c r="B177">
        <f t="shared" si="9"/>
        <v>97.61788944808498</v>
      </c>
    </row>
    <row r="178">
      <c r="A178">
        <v>177</v>
      </c>
      <c r="B178">
        <f t="shared" si="9"/>
        <v>80.93286847454743</v>
      </c>
    </row>
    <row r="179">
      <c r="A179">
        <v>178</v>
      </c>
      <c r="B179">
        <f t="shared" si="9"/>
        <v>66.72216327933205</v>
      </c>
    </row>
    <row r="180">
      <c r="A180">
        <v>179</v>
      </c>
      <c r="B180">
        <f t="shared" si="9"/>
        <v>96.22424163544599</v>
      </c>
    </row>
    <row r="181">
      <c r="A181">
        <v>180</v>
      </c>
      <c r="B181">
        <f t="shared" si="9"/>
        <v>99.5735300258811</v>
      </c>
    </row>
    <row r="182">
      <c r="A182">
        <v>181</v>
      </c>
      <c r="B182">
        <f t="shared" si="9"/>
        <v>98.92282680193894</v>
      </c>
    </row>
    <row r="183">
      <c r="A183">
        <v>182</v>
      </c>
      <c r="B183">
        <f t="shared" si="9"/>
        <v>110.97373934368825</v>
      </c>
    </row>
    <row r="184">
      <c r="A184">
        <v>183</v>
      </c>
      <c r="B184">
        <f t="shared" si="9"/>
        <v>95.36495064150888</v>
      </c>
    </row>
    <row r="185">
      <c r="A185">
        <v>184</v>
      </c>
      <c r="B185">
        <f t="shared" si="9"/>
        <v>77.32450213498514</v>
      </c>
    </row>
    <row r="186">
      <c r="A186">
        <v>185</v>
      </c>
      <c r="B186">
        <f t="shared" si="9"/>
        <v>79.46563215404528</v>
      </c>
    </row>
    <row r="187">
      <c r="A187">
        <v>186</v>
      </c>
      <c r="B187">
        <f t="shared" si="9"/>
        <v>92.10414524960497</v>
      </c>
    </row>
    <row r="188">
      <c r="A188">
        <v>187</v>
      </c>
      <c r="B188">
        <f t="shared" si="9"/>
        <v>99.57098349874364</v>
      </c>
    </row>
    <row r="189">
      <c r="A189">
        <v>188</v>
      </c>
      <c r="B189">
        <f t="shared" si="9"/>
        <v>90.90012401373478</v>
      </c>
    </row>
    <row r="190">
      <c r="A190">
        <v>189</v>
      </c>
      <c r="B190">
        <f t="shared" si="9"/>
        <v>95.55818166698558</v>
      </c>
    </row>
    <row r="191">
      <c r="A191">
        <v>190</v>
      </c>
      <c r="B191">
        <f t="shared" si="9"/>
        <v>89.66810293200496</v>
      </c>
    </row>
    <row r="192">
      <c r="A192">
        <v>191</v>
      </c>
      <c r="B192">
        <f t="shared" si="9"/>
        <v>116.51279794906449</v>
      </c>
    </row>
    <row r="193">
      <c r="A193">
        <v>192</v>
      </c>
      <c r="B193">
        <f t="shared" si="9"/>
        <v>81.6576485981429</v>
      </c>
    </row>
    <row r="194">
      <c r="A194">
        <v>193</v>
      </c>
      <c r="B194">
        <f t="shared" si="9"/>
        <v>88.65437388277635</v>
      </c>
    </row>
    <row r="195">
      <c r="A195">
        <v>194</v>
      </c>
      <c r="B195">
        <f t="shared" si="9"/>
        <v>133.9929979508795</v>
      </c>
    </row>
    <row r="196">
      <c r="A196">
        <v>195</v>
      </c>
      <c r="B196">
        <f t="shared" si="9"/>
        <v>106.01145888509342</v>
      </c>
    </row>
    <row r="197">
      <c r="A197">
        <v>196</v>
      </c>
      <c r="B197">
        <f t="shared" si="9"/>
        <v>110.88662888096523</v>
      </c>
    </row>
    <row r="198">
      <c r="A198">
        <v>197</v>
      </c>
      <c r="B198">
        <f t="shared" si="9"/>
        <v>127.28027647141268</v>
      </c>
    </row>
    <row r="199">
      <c r="A199">
        <v>198</v>
      </c>
      <c r="B199">
        <f t="shared" si="9"/>
        <v>110.77820225753906</v>
      </c>
    </row>
    <row r="200">
      <c r="A200">
        <v>199</v>
      </c>
      <c r="B200">
        <f t="shared" si="9"/>
        <v>96.45146468410816</v>
      </c>
    </row>
    <row r="201">
      <c r="A201">
        <v>200</v>
      </c>
      <c r="B201">
        <f t="shared" si="9"/>
        <v>84.50374076193292</v>
      </c>
    </row>
    <row r="202">
      <c r="A202">
        <v>201</v>
      </c>
      <c r="B202">
        <f t="shared" si="9"/>
        <v>73.59498187819175</v>
      </c>
    </row>
    <row r="203">
      <c r="A203">
        <v>202</v>
      </c>
      <c r="B203">
        <f t="shared" si="9"/>
        <v>94.7231696825827</v>
      </c>
    </row>
    <row r="204">
      <c r="A204">
        <v>203</v>
      </c>
      <c r="B204">
        <f t="shared" si="9"/>
        <v>108.55474026980481</v>
      </c>
    </row>
    <row r="205">
      <c r="A205">
        <v>204</v>
      </c>
      <c r="B205">
        <f t="shared" si="9"/>
        <v>89.6947907163702</v>
      </c>
    </row>
    <row r="206">
      <c r="A206">
        <v>205</v>
      </c>
      <c r="B206">
        <f t="shared" si="9"/>
        <v>95.65863439070947</v>
      </c>
    </row>
    <row r="207">
      <c r="A207">
        <v>206</v>
      </c>
      <c r="B207">
        <f t="shared" si="9"/>
        <v>85.21374266837192</v>
      </c>
    </row>
    <row r="208">
      <c r="A208">
        <v>207</v>
      </c>
      <c r="B208">
        <f t="shared" si="9"/>
        <v>66.21664721206594</v>
      </c>
    </row>
    <row r="209">
      <c r="A209">
        <v>208</v>
      </c>
      <c r="B209">
        <f t="shared" si="9"/>
        <v>97.31831032989751</v>
      </c>
    </row>
    <row r="210">
      <c r="A210">
        <v>209</v>
      </c>
      <c r="B210">
        <f t="shared" si="9"/>
        <v>117.30372572231207</v>
      </c>
    </row>
    <row r="211">
      <c r="A211">
        <v>210</v>
      </c>
      <c r="B211">
        <f t="shared" si="9"/>
        <v>102.10093177987808</v>
      </c>
    </row>
    <row r="212">
      <c r="A212">
        <v>211</v>
      </c>
      <c r="B212">
        <f t="shared" si="9"/>
        <v>110.37570836144718</v>
      </c>
    </row>
    <row r="213">
      <c r="A213">
        <v>212</v>
      </c>
      <c r="B213">
        <f t="shared" si="9"/>
        <v>75.94702585202317</v>
      </c>
    </row>
    <row r="214">
      <c r="A214">
        <v>213</v>
      </c>
      <c r="B214">
        <f t="shared" si="9"/>
        <v>120.1939887385646</v>
      </c>
    </row>
    <row r="215">
      <c r="A215">
        <v>214</v>
      </c>
      <c r="B215">
        <f t="shared" si="9"/>
        <v>97.78891678444043</v>
      </c>
    </row>
    <row r="216">
      <c r="A216">
        <v>215</v>
      </c>
      <c r="B216">
        <f t="shared" si="9"/>
        <v>107.66066755169713</v>
      </c>
    </row>
    <row r="217">
      <c r="A217">
        <v>216</v>
      </c>
      <c r="B217">
        <f t="shared" si="9"/>
        <v>125.85733249676822</v>
      </c>
    </row>
    <row r="218">
      <c r="A218">
        <v>217</v>
      </c>
      <c r="B218">
        <f t="shared" si="9"/>
        <v>109.90299790317599</v>
      </c>
    </row>
    <row r="219">
      <c r="A219">
        <v>218</v>
      </c>
      <c r="B219">
        <f t="shared" si="9"/>
        <v>89.74129636034067</v>
      </c>
    </row>
    <row r="220">
      <c r="A220">
        <v>219</v>
      </c>
      <c r="B220">
        <f t="shared" si="9"/>
        <v>105.95349745955217</v>
      </c>
    </row>
    <row r="221">
      <c r="A221">
        <v>220</v>
      </c>
      <c r="B221">
        <f t="shared" si="9"/>
        <v>109.5458418978572</v>
      </c>
    </row>
    <row r="222">
      <c r="A222">
        <v>221</v>
      </c>
      <c r="B222">
        <f t="shared" si="9"/>
        <v>94.63686944362942</v>
      </c>
    </row>
    <row r="223">
      <c r="A223">
        <v>222</v>
      </c>
      <c r="B223">
        <f t="shared" si="9"/>
        <v>101.42528429014021</v>
      </c>
    </row>
    <row r="224">
      <c r="A224">
        <v>223</v>
      </c>
      <c r="B224">
        <f t="shared" si="9"/>
        <v>115.7842981367101</v>
      </c>
    </row>
    <row r="225">
      <c r="A225">
        <v>224</v>
      </c>
      <c r="B225">
        <f t="shared" si="9"/>
        <v>99.51804120420441</v>
      </c>
    </row>
    <row r="226">
      <c r="A226">
        <v>225</v>
      </c>
      <c r="B226">
        <f t="shared" si="9"/>
        <v>101.68620003989415</v>
      </c>
    </row>
    <row r="227">
      <c r="A227">
        <v>226</v>
      </c>
      <c r="B227">
        <f t="shared" si="9"/>
        <v>97.70068383178673</v>
      </c>
    </row>
    <row r="228">
      <c r="A228">
        <v>227</v>
      </c>
      <c r="B228">
        <f t="shared" si="9"/>
        <v>111.7950965899518</v>
      </c>
    </row>
    <row r="229">
      <c r="A229">
        <v>228</v>
      </c>
      <c r="B229">
        <f t="shared" si="9"/>
        <v>103.85368321173725</v>
      </c>
    </row>
    <row r="230">
      <c r="A230">
        <v>229</v>
      </c>
      <c r="B230">
        <f t="shared" si="9"/>
        <v>125.01232426022358</v>
      </c>
    </row>
    <row r="231">
      <c r="A231">
        <v>230</v>
      </c>
      <c r="B231">
        <f t="shared" si="9"/>
        <v>99.92823108450685</v>
      </c>
    </row>
    <row r="232">
      <c r="A232">
        <v>231</v>
      </c>
      <c r="B232">
        <f t="shared" si="9"/>
        <v>122.1166012246306</v>
      </c>
    </row>
    <row r="233">
      <c r="A233">
        <v>232</v>
      </c>
      <c r="B233">
        <f t="shared" si="9"/>
        <v>80.82436699632916</v>
      </c>
    </row>
    <row r="234">
      <c r="A234">
        <v>233</v>
      </c>
      <c r="B234">
        <f t="shared" si="9"/>
        <v>106.9573228635903</v>
      </c>
    </row>
    <row r="235">
      <c r="A235">
        <v>234</v>
      </c>
      <c r="B235">
        <f t="shared" si="9"/>
        <v>79.31673749065075</v>
      </c>
    </row>
    <row r="236">
      <c r="A236">
        <v>235</v>
      </c>
      <c r="B236">
        <f t="shared" si="9"/>
        <v>65.09468397933988</v>
      </c>
    </row>
    <row r="237">
      <c r="A237">
        <v>236</v>
      </c>
      <c r="B237">
        <f t="shared" si="9"/>
        <v>91.91869559354473</v>
      </c>
    </row>
    <row r="238">
      <c r="A238">
        <v>237</v>
      </c>
      <c r="B238">
        <f t="shared" si="9"/>
        <v>90.33318181320553</v>
      </c>
    </row>
    <row r="239">
      <c r="A239">
        <v>238</v>
      </c>
      <c r="B239">
        <f t="shared" si="9"/>
        <v>123.43899731800339</v>
      </c>
    </row>
    <row r="240">
      <c r="A240">
        <v>239</v>
      </c>
      <c r="B240">
        <f t="shared" si="9"/>
        <v>119.7704659783232</v>
      </c>
    </row>
    <row r="241">
      <c r="A241">
        <v>240</v>
      </c>
      <c r="B241">
        <f t="shared" si="9"/>
        <v>83.98937906128863</v>
      </c>
    </row>
    <row r="242">
      <c r="A242">
        <v>241</v>
      </c>
      <c r="B242">
        <f t="shared" si="9"/>
        <v>84.1487135096444</v>
      </c>
    </row>
    <row r="243">
      <c r="A243">
        <v>242</v>
      </c>
      <c r="B243">
        <f t="shared" si="9"/>
        <v>76.3128986590168</v>
      </c>
    </row>
    <row r="244">
      <c r="A244">
        <v>243</v>
      </c>
      <c r="B244">
        <f t="shared" si="9"/>
        <v>103.63121330227352</v>
      </c>
    </row>
    <row r="245">
      <c r="A245">
        <v>244</v>
      </c>
      <c r="B245">
        <f t="shared" si="9"/>
        <v>102.72865592381774</v>
      </c>
    </row>
    <row r="246">
      <c r="A246">
        <v>245</v>
      </c>
      <c r="B246">
        <f t="shared" si="9"/>
        <v>92.6184819294988</v>
      </c>
    </row>
    <row r="247">
      <c r="A247">
        <v>246</v>
      </c>
      <c r="B247">
        <f t="shared" si="9"/>
        <v>103.01982646154784</v>
      </c>
    </row>
    <row r="248">
      <c r="A248">
        <v>247</v>
      </c>
      <c r="B248">
        <f t="shared" si="9"/>
        <v>83.39567998959336</v>
      </c>
    </row>
    <row r="249">
      <c r="A249">
        <v>248</v>
      </c>
      <c r="B249">
        <f t="shared" si="9"/>
        <v>98.20845545042854</v>
      </c>
    </row>
    <row r="250">
      <c r="A250">
        <v>249</v>
      </c>
      <c r="B250">
        <f t="shared" si="9"/>
        <v>103.84305463984</v>
      </c>
    </row>
    <row r="251">
      <c r="A251">
        <v>250</v>
      </c>
      <c r="B251">
        <f t="shared" si="9"/>
        <v>101.93093182739207</v>
      </c>
    </row>
    <row r="252">
      <c r="A252">
        <v>251</v>
      </c>
      <c r="B252">
        <f t="shared" si="9"/>
        <v>67.42048746237015</v>
      </c>
    </row>
    <row r="253">
      <c r="A253">
        <v>252</v>
      </c>
      <c r="B253">
        <f t="shared" si="9"/>
        <v>100.75901834992992</v>
      </c>
    </row>
    <row r="254">
      <c r="A254">
        <v>253</v>
      </c>
      <c r="B254">
        <f t="shared" si="9"/>
        <v>119.18049606254118</v>
      </c>
    </row>
    <row r="255">
      <c r="A255">
        <v>254</v>
      </c>
      <c r="B255">
        <f t="shared" si="9"/>
        <v>64.16636543579642</v>
      </c>
    </row>
    <row r="256">
      <c r="A256">
        <v>255</v>
      </c>
      <c r="B256">
        <f t="shared" si="9"/>
        <v>106.094744117756</v>
      </c>
    </row>
    <row r="257">
      <c r="A257">
        <v>256</v>
      </c>
      <c r="B257">
        <f t="shared" si="9"/>
        <v>130.34362422116607</v>
      </c>
    </row>
    <row r="258">
      <c r="A258">
        <v>257</v>
      </c>
      <c r="B258">
        <f t="shared" si="9"/>
        <v>90.42624770845119</v>
      </c>
    </row>
    <row r="259">
      <c r="A259">
        <v>258</v>
      </c>
      <c r="B259">
        <f t="shared" si="9"/>
        <v>78.48811465500157</v>
      </c>
    </row>
    <row r="260">
      <c r="A260">
        <v>259</v>
      </c>
      <c r="B260">
        <f t="shared" si="9"/>
        <v>102.73833472458621</v>
      </c>
    </row>
    <row r="261">
      <c r="A261">
        <v>260</v>
      </c>
      <c r="B261">
        <f t="shared" si="9"/>
        <v>107.7600784719079</v>
      </c>
    </row>
    <row r="262">
      <c r="A262">
        <v>261</v>
      </c>
      <c r="B262">
        <f t="shared" si="9"/>
        <v>127.38935368194134</v>
      </c>
    </row>
    <row r="263">
      <c r="A263">
        <v>262</v>
      </c>
      <c r="B263">
        <f t="shared" si="9"/>
        <v>90.59366609862666</v>
      </c>
    </row>
    <row r="264">
      <c r="A264">
        <v>263</v>
      </c>
      <c r="B264">
        <f t="shared" si="9"/>
        <v>125.00852438035895</v>
      </c>
    </row>
    <row r="265">
      <c r="A265">
        <v>264</v>
      </c>
      <c r="B265">
        <f t="shared" si="9"/>
        <v>118.13482287748559</v>
      </c>
    </row>
    <row r="266">
      <c r="A266">
        <v>265</v>
      </c>
      <c r="B266">
        <f t="shared" si="9"/>
        <v>116.21319232325588</v>
      </c>
    </row>
    <row r="267">
      <c r="A267">
        <v>266</v>
      </c>
      <c r="B267">
        <f t="shared" si="9"/>
        <v>103.00426949870618</v>
      </c>
    </row>
    <row r="268">
      <c r="A268">
        <v>267</v>
      </c>
      <c r="B268">
        <f t="shared" si="9"/>
        <v>90.70374575492991</v>
      </c>
    </row>
    <row r="269">
      <c r="A269">
        <v>268</v>
      </c>
      <c r="B269">
        <f t="shared" si="9"/>
        <v>129.62889270526824</v>
      </c>
    </row>
    <row r="270">
      <c r="A270">
        <v>269</v>
      </c>
      <c r="B270">
        <f t="shared" si="9"/>
        <v>83.47192960041</v>
      </c>
    </row>
    <row r="271">
      <c r="A271">
        <v>270</v>
      </c>
      <c r="B271">
        <f t="shared" si="9"/>
        <v>110.79703419366757</v>
      </c>
    </row>
    <row r="272">
      <c r="A272">
        <v>271</v>
      </c>
      <c r="B272">
        <f t="shared" si="9"/>
        <v>131.90022724447184</v>
      </c>
    </row>
    <row r="273">
      <c r="A273">
        <v>272</v>
      </c>
      <c r="B273">
        <f t="shared" si="9"/>
        <v>109.77202936882959</v>
      </c>
    </row>
    <row r="274">
      <c r="A274">
        <v>273</v>
      </c>
      <c r="B274">
        <f t="shared" si="9"/>
        <v>104.780478944193</v>
      </c>
    </row>
    <row r="275">
      <c r="A275">
        <v>274</v>
      </c>
      <c r="B275">
        <f t="shared" si="9"/>
        <v>103.74052365255469</v>
      </c>
    </row>
    <row r="276">
      <c r="A276">
        <v>275</v>
      </c>
      <c r="B276">
        <f t="shared" si="9"/>
        <v>100.34109313225103</v>
      </c>
    </row>
    <row r="277">
      <c r="A277">
        <v>276</v>
      </c>
      <c r="B277">
        <f t="shared" si="9"/>
        <v>105.92400069941415</v>
      </c>
    </row>
    <row r="278">
      <c r="A278">
        <v>277</v>
      </c>
      <c r="B278">
        <f t="shared" si="9"/>
        <v>118.27968304421368</v>
      </c>
    </row>
    <row r="279">
      <c r="A279">
        <v>278</v>
      </c>
      <c r="B279">
        <f t="shared" si="9"/>
        <v>101.46451367990142</v>
      </c>
    </row>
    <row r="280">
      <c r="A280">
        <v>279</v>
      </c>
      <c r="B280">
        <f t="shared" si="9"/>
        <v>99.82818267373887</v>
      </c>
    </row>
    <row r="281">
      <c r="A281">
        <v>280</v>
      </c>
      <c r="B281">
        <f t="shared" si="9"/>
        <v>92.84566929549145</v>
      </c>
    </row>
    <row r="282">
      <c r="A282">
        <v>281</v>
      </c>
      <c r="B282">
        <f t="shared" si="9"/>
        <v>106.52960629236914</v>
      </c>
    </row>
    <row r="283">
      <c r="A283">
        <v>282</v>
      </c>
      <c r="B283">
        <f t="shared" si="9"/>
        <v>86.42012135203336</v>
      </c>
    </row>
    <row r="284">
      <c r="A284">
        <v>283</v>
      </c>
      <c r="B284">
        <f t="shared" si="9"/>
        <v>91.25559355428415</v>
      </c>
    </row>
    <row r="285">
      <c r="A285">
        <v>284</v>
      </c>
      <c r="B285">
        <f t="shared" si="9"/>
        <v>102.37249605124312</v>
      </c>
    </row>
    <row r="286">
      <c r="A286">
        <v>285</v>
      </c>
      <c r="B286">
        <f t="shared" si="9"/>
        <v>105.31379585307536</v>
      </c>
    </row>
    <row r="287">
      <c r="A287">
        <v>286</v>
      </c>
      <c r="B287">
        <f t="shared" si="9"/>
        <v>108.39603415187308</v>
      </c>
    </row>
    <row r="288">
      <c r="A288">
        <v>287</v>
      </c>
      <c r="B288">
        <f t="shared" si="9"/>
        <v>75.29317070723327</v>
      </c>
    </row>
    <row r="289">
      <c r="A289">
        <v>288</v>
      </c>
      <c r="B289">
        <f t="shared" si="9"/>
        <v>105.49153582699562</v>
      </c>
    </row>
    <row r="290">
      <c r="A290">
        <v>289</v>
      </c>
      <c r="B290">
        <f t="shared" si="9"/>
        <v>105.14360583247895</v>
      </c>
    </row>
    <row r="291">
      <c r="A291">
        <v>290</v>
      </c>
      <c r="B291">
        <f t="shared" si="9"/>
        <v>101.46370578863117</v>
      </c>
    </row>
    <row r="292">
      <c r="A292">
        <v>291</v>
      </c>
      <c r="B292">
        <f t="shared" si="9"/>
        <v>100.49277307487642</v>
      </c>
    </row>
    <row r="293">
      <c r="A293">
        <v>292</v>
      </c>
      <c r="B293">
        <f t="shared" si="9"/>
        <v>84.42688033336337</v>
      </c>
    </row>
    <row r="294">
      <c r="A294">
        <v>293</v>
      </c>
      <c r="B294">
        <f t="shared" si="9"/>
        <v>109.38543093560273</v>
      </c>
    </row>
    <row r="295">
      <c r="A295">
        <v>294</v>
      </c>
      <c r="B295">
        <f t="shared" si="9"/>
        <v>102.76359326072038</v>
      </c>
    </row>
    <row r="296">
      <c r="A296">
        <v>295</v>
      </c>
      <c r="B296">
        <f t="shared" si="9"/>
        <v>98.03306313228616</v>
      </c>
    </row>
    <row r="297">
      <c r="A297">
        <v>296</v>
      </c>
      <c r="B297">
        <f t="shared" si="9"/>
        <v>90.57718175034941</v>
      </c>
    </row>
    <row r="298">
      <c r="A298">
        <v>297</v>
      </c>
      <c r="B298">
        <f t="shared" si="9"/>
        <v>117.12985110012599</v>
      </c>
    </row>
    <row r="299">
      <c r="A299">
        <v>298</v>
      </c>
      <c r="B299">
        <f t="shared" si="9"/>
        <v>86.96487561327679</v>
      </c>
    </row>
    <row r="300">
      <c r="A300">
        <v>299</v>
      </c>
      <c r="B300">
        <f t="shared" si="9"/>
        <v>102.44300154534263</v>
      </c>
    </row>
    <row r="301">
      <c r="A301">
        <v>300</v>
      </c>
      <c r="B301">
        <f t="shared" si="9"/>
        <v>107.15130179449002</v>
      </c>
    </row>
    <row r="302">
      <c r="A302">
        <v>301</v>
      </c>
      <c r="B302">
        <f t="shared" si="9"/>
        <v>95.2349429806231</v>
      </c>
    </row>
    <row r="303">
      <c r="A303">
        <v>302</v>
      </c>
      <c r="B303">
        <f t="shared" si="9"/>
        <v>105.3671109301835</v>
      </c>
    </row>
    <row r="304">
      <c r="A304">
        <v>303</v>
      </c>
      <c r="B304">
        <f t="shared" si="9"/>
        <v>91.05904601070701</v>
      </c>
    </row>
    <row r="305">
      <c r="A305">
        <v>304</v>
      </c>
      <c r="B305">
        <f t="shared" si="9"/>
        <v>112.39684563832111</v>
      </c>
    </row>
    <row r="306">
      <c r="A306">
        <v>305</v>
      </c>
      <c r="B306">
        <f t="shared" si="9"/>
        <v>92.22460585015392</v>
      </c>
    </row>
    <row r="307">
      <c r="A307">
        <v>306</v>
      </c>
      <c r="B307">
        <f t="shared" si="9"/>
        <v>94.66060609281729</v>
      </c>
    </row>
    <row r="308">
      <c r="A308">
        <v>307</v>
      </c>
      <c r="B308">
        <f t="shared" si="9"/>
        <v>95.19049146792719</v>
      </c>
    </row>
    <row r="309">
      <c r="A309">
        <v>308</v>
      </c>
      <c r="B309">
        <f t="shared" si="9"/>
        <v>119.9772894426158</v>
      </c>
    </row>
    <row r="310">
      <c r="A310">
        <v>309</v>
      </c>
      <c r="B310">
        <f t="shared" si="9"/>
        <v>73.56145215375233</v>
      </c>
    </row>
    <row r="311">
      <c r="A311">
        <v>310</v>
      </c>
      <c r="B311">
        <f t="shared" si="9"/>
        <v>88.0308906256453</v>
      </c>
    </row>
    <row r="312">
      <c r="A312">
        <v>311</v>
      </c>
      <c r="B312">
        <f t="shared" si="9"/>
        <v>99.21584549981841</v>
      </c>
    </row>
    <row r="313">
      <c r="A313">
        <v>312</v>
      </c>
      <c r="B313">
        <f t="shared" si="9"/>
        <v>99.7195841236664</v>
      </c>
    </row>
    <row r="314">
      <c r="A314">
        <v>313</v>
      </c>
      <c r="B314">
        <f t="shared" si="9"/>
        <v>97.08149393150303</v>
      </c>
    </row>
    <row r="315">
      <c r="A315">
        <v>314</v>
      </c>
      <c r="B315">
        <f t="shared" si="9"/>
        <v>110.92145625907712</v>
      </c>
    </row>
    <row r="316">
      <c r="A316">
        <v>315</v>
      </c>
      <c r="B316">
        <f t="shared" si="9"/>
        <v>77.07289989116929</v>
      </c>
    </row>
    <row r="317">
      <c r="A317">
        <v>316</v>
      </c>
      <c r="B317">
        <f t="shared" si="9"/>
        <v>89.87338498621185</v>
      </c>
    </row>
    <row r="318">
      <c r="A318">
        <v>317</v>
      </c>
      <c r="B318">
        <f t="shared" si="9"/>
        <v>90.36733415516638</v>
      </c>
    </row>
    <row r="319">
      <c r="A319">
        <v>318</v>
      </c>
      <c r="B319">
        <f t="shared" si="9"/>
        <v>104.84247124169613</v>
      </c>
    </row>
    <row r="320">
      <c r="A320">
        <v>319</v>
      </c>
      <c r="B320">
        <f t="shared" si="9"/>
        <v>117.55045176775381</v>
      </c>
    </row>
    <row r="321">
      <c r="A321">
        <v>320</v>
      </c>
      <c r="B321">
        <f t="shared" si="9"/>
        <v>99.23691219788624</v>
      </c>
    </row>
    <row r="322">
      <c r="A322">
        <v>321</v>
      </c>
      <c r="B322">
        <f t="shared" si="9"/>
        <v>110.97639816990672</v>
      </c>
    </row>
    <row r="323">
      <c r="A323">
        <v>322</v>
      </c>
      <c r="B323">
        <f t="shared" si="9"/>
        <v>102.44880152459415</v>
      </c>
    </row>
    <row r="324">
      <c r="A324">
        <v>323</v>
      </c>
      <c r="B324">
        <f t="shared" si="9"/>
        <v>117.41540021530881</v>
      </c>
    </row>
    <row r="325">
      <c r="A325">
        <v>324</v>
      </c>
      <c r="B325">
        <f t="shared" si="9"/>
        <v>90.12480975480717</v>
      </c>
    </row>
    <row r="326">
      <c r="A326">
        <v>325</v>
      </c>
      <c r="B326">
        <f t="shared" si="9"/>
        <v>95.77402092110918</v>
      </c>
    </row>
    <row r="327">
      <c r="A327">
        <v>326</v>
      </c>
      <c r="B327">
        <f t="shared" si="9"/>
        <v>99.3631463510647</v>
      </c>
    </row>
    <row r="328">
      <c r="A328">
        <v>327</v>
      </c>
      <c r="B328">
        <f t="shared" si="9"/>
        <v>108.99651596354828</v>
      </c>
    </row>
    <row r="329">
      <c r="A329">
        <v>328</v>
      </c>
      <c r="B329">
        <f t="shared" si="9"/>
        <v>111.66436225600538</v>
      </c>
    </row>
    <row r="330">
      <c r="A330">
        <v>329</v>
      </c>
      <c r="B330">
        <f t="shared" si="9"/>
        <v>109.26322070444192</v>
      </c>
    </row>
    <row r="331">
      <c r="A331">
        <v>330</v>
      </c>
      <c r="B331">
        <f t="shared" si="9"/>
        <v>108.44147932015629</v>
      </c>
    </row>
    <row r="332">
      <c r="A332">
        <v>331</v>
      </c>
      <c r="B332">
        <f t="shared" si="9"/>
        <v>92.67990126271599</v>
      </c>
    </row>
    <row r="333">
      <c r="A333">
        <v>332</v>
      </c>
      <c r="B333">
        <f t="shared" si="9"/>
        <v>87.11469128245399</v>
      </c>
    </row>
    <row r="334">
      <c r="A334">
        <v>333</v>
      </c>
      <c r="B334">
        <f t="shared" si="9"/>
        <v>114.51778517448835</v>
      </c>
    </row>
    <row r="335">
      <c r="A335">
        <v>334</v>
      </c>
      <c r="B335">
        <f t="shared" si="9"/>
        <v>88.83933399736598</v>
      </c>
    </row>
    <row r="336">
      <c r="A336">
        <v>335</v>
      </c>
      <c r="B336">
        <f t="shared" si="9"/>
        <v>116.74557174913294</v>
      </c>
    </row>
    <row r="337">
      <c r="A337">
        <v>336</v>
      </c>
      <c r="B337">
        <f t="shared" si="9"/>
        <v>100.24129550103147</v>
      </c>
    </row>
    <row r="338">
      <c r="A338">
        <v>337</v>
      </c>
      <c r="B338">
        <f t="shared" si="9"/>
        <v>115.2022097890252</v>
      </c>
    </row>
    <row r="339">
      <c r="A339">
        <v>338</v>
      </c>
      <c r="B339">
        <f t="shared" si="9"/>
        <v>103.59817426402918</v>
      </c>
    </row>
    <row r="340">
      <c r="A340">
        <v>339</v>
      </c>
      <c r="B340">
        <f t="shared" si="9"/>
        <v>119.36896650327833</v>
      </c>
    </row>
    <row r="341">
      <c r="A341">
        <v>340</v>
      </c>
      <c r="B341">
        <f t="shared" si="9"/>
        <v>103.83239870320624</v>
      </c>
    </row>
    <row r="342">
      <c r="A342">
        <v>341</v>
      </c>
      <c r="B342">
        <f t="shared" si="9"/>
        <v>118.8212725385134</v>
      </c>
    </row>
    <row r="343">
      <c r="A343">
        <v>342</v>
      </c>
      <c r="B343">
        <f t="shared" si="9"/>
        <v>113.57462624679452</v>
      </c>
    </row>
    <row r="344">
      <c r="A344">
        <v>343</v>
      </c>
      <c r="B344">
        <f t="shared" si="9"/>
        <v>103.96125407961796</v>
      </c>
    </row>
    <row r="345">
      <c r="A345">
        <v>344</v>
      </c>
      <c r="B345">
        <f t="shared" si="9"/>
        <v>105.01463833377649</v>
      </c>
    </row>
    <row r="346">
      <c r="A346">
        <v>345</v>
      </c>
      <c r="B346">
        <f t="shared" si="9"/>
        <v>118.40551976227191</v>
      </c>
    </row>
    <row r="347">
      <c r="A347">
        <v>346</v>
      </c>
      <c r="B347">
        <f t="shared" si="9"/>
        <v>89.80915915752549</v>
      </c>
    </row>
    <row r="348">
      <c r="A348">
        <v>347</v>
      </c>
      <c r="B348">
        <f t="shared" si="9"/>
        <v>94.49665821645674</v>
      </c>
    </row>
    <row r="349">
      <c r="A349">
        <v>348</v>
      </c>
      <c r="B349">
        <f t="shared" si="9"/>
        <v>90.79541619988557</v>
      </c>
    </row>
    <row r="350">
      <c r="A350">
        <v>349</v>
      </c>
      <c r="B350">
        <f t="shared" si="9"/>
        <v>121.64457720366076</v>
      </c>
    </row>
    <row r="351">
      <c r="A351">
        <v>350</v>
      </c>
      <c r="B351">
        <f t="shared" si="9"/>
        <v>97.9822298908886</v>
      </c>
    </row>
    <row r="352">
      <c r="A352">
        <v>351</v>
      </c>
      <c r="B352">
        <f t="shared" si="9"/>
        <v>128.8543285293794</v>
      </c>
    </row>
    <row r="353">
      <c r="A353">
        <v>352</v>
      </c>
      <c r="B353">
        <f t="shared" si="9"/>
        <v>110.4627551844094</v>
      </c>
    </row>
    <row r="354">
      <c r="A354">
        <v>353</v>
      </c>
      <c r="B354">
        <f t="shared" si="9"/>
        <v>103.66028616042317</v>
      </c>
    </row>
    <row r="355">
      <c r="A355">
        <v>354</v>
      </c>
      <c r="B355">
        <f t="shared" si="9"/>
        <v>95.615097958708</v>
      </c>
    </row>
    <row r="356">
      <c r="A356">
        <v>355</v>
      </c>
      <c r="B356">
        <f t="shared" si="9"/>
        <v>93.11543153489713</v>
      </c>
    </row>
    <row r="357">
      <c r="A357">
        <v>356</v>
      </c>
      <c r="B357">
        <f t="shared" si="9"/>
        <v>117.24299410977551</v>
      </c>
    </row>
    <row r="358">
      <c r="A358">
        <v>357</v>
      </c>
      <c r="B358">
        <f t="shared" si="9"/>
        <v>113.64769595055881</v>
      </c>
    </row>
    <row r="359">
      <c r="A359">
        <v>358</v>
      </c>
      <c r="B359">
        <f t="shared" si="9"/>
        <v>118.93117583169453</v>
      </c>
    </row>
    <row r="360">
      <c r="A360">
        <v>359</v>
      </c>
      <c r="B360">
        <f t="shared" si="9"/>
        <v>104.98523280135973</v>
      </c>
    </row>
    <row r="361">
      <c r="A361">
        <v>360</v>
      </c>
      <c r="B361">
        <f t="shared" si="9"/>
        <v>107.88684973983077</v>
      </c>
    </row>
    <row r="362">
      <c r="A362">
        <v>361</v>
      </c>
      <c r="B362">
        <f t="shared" si="9"/>
        <v>103.51691397712884</v>
      </c>
    </row>
    <row r="363">
      <c r="A363">
        <v>362</v>
      </c>
      <c r="B363">
        <f t="shared" si="9"/>
        <v>85.89376139599572</v>
      </c>
    </row>
    <row r="364">
      <c r="A364">
        <v>363</v>
      </c>
      <c r="B364">
        <f t="shared" si="9"/>
        <v>106.49384259340427</v>
      </c>
    </row>
    <row r="365">
      <c r="A365">
        <v>364</v>
      </c>
      <c r="B365">
        <f t="shared" si="9"/>
        <v>88.27190625161866</v>
      </c>
    </row>
    <row r="366">
      <c r="A366">
        <v>365</v>
      </c>
      <c r="B366">
        <f t="shared" si="9"/>
        <v>115.25191010750743</v>
      </c>
    </row>
    <row r="367">
      <c r="A367">
        <v>366</v>
      </c>
      <c r="B367">
        <f t="shared" si="9"/>
        <v>93.61275989225145</v>
      </c>
    </row>
    <row r="368">
      <c r="A368">
        <v>367</v>
      </c>
      <c r="B368">
        <f t="shared" si="9"/>
        <v>102.67423781917343</v>
      </c>
    </row>
    <row r="369">
      <c r="A369">
        <v>368</v>
      </c>
      <c r="B369">
        <f t="shared" si="9"/>
        <v>84.98253778693672</v>
      </c>
    </row>
    <row r="370">
      <c r="A370">
        <v>369</v>
      </c>
      <c r="B370">
        <f t="shared" si="9"/>
        <v>97.53884634066348</v>
      </c>
    </row>
    <row r="371">
      <c r="A371">
        <v>370</v>
      </c>
      <c r="B371">
        <f t="shared" si="9"/>
        <v>108.67810849723429</v>
      </c>
    </row>
    <row r="372">
      <c r="A372">
        <v>371</v>
      </c>
      <c r="B372">
        <f t="shared" si="9"/>
        <v>100.31007042267406</v>
      </c>
    </row>
    <row r="373">
      <c r="A373">
        <v>372</v>
      </c>
      <c r="B373">
        <f t="shared" si="9"/>
        <v>92.24917787825837</v>
      </c>
    </row>
    <row r="374">
      <c r="A374">
        <v>373</v>
      </c>
      <c r="B374">
        <f t="shared" si="9"/>
        <v>111.13135518689855</v>
      </c>
    </row>
    <row r="375">
      <c r="A375">
        <v>374</v>
      </c>
      <c r="B375">
        <f t="shared" si="9"/>
        <v>78.30535319336425</v>
      </c>
    </row>
    <row r="376">
      <c r="A376">
        <v>375</v>
      </c>
      <c r="B376">
        <f t="shared" si="9"/>
        <v>94.88944704140974</v>
      </c>
    </row>
    <row r="377">
      <c r="A377">
        <v>376</v>
      </c>
      <c r="B377">
        <f t="shared" si="9"/>
        <v>102.2943764311073</v>
      </c>
    </row>
    <row r="378">
      <c r="A378">
        <v>377</v>
      </c>
      <c r="B378">
        <f t="shared" si="9"/>
        <v>82.70151990237773</v>
      </c>
    </row>
    <row r="379">
      <c r="A379">
        <v>378</v>
      </c>
      <c r="B379">
        <f t="shared" si="9"/>
        <v>99.90213389198651</v>
      </c>
    </row>
    <row r="380">
      <c r="A380">
        <v>379</v>
      </c>
      <c r="B380">
        <f t="shared" si="9"/>
        <v>93.42473712583508</v>
      </c>
    </row>
    <row r="381">
      <c r="A381">
        <v>380</v>
      </c>
      <c r="B381">
        <f t="shared" si="9"/>
        <v>98.61930148197311</v>
      </c>
    </row>
    <row r="382">
      <c r="A382">
        <v>381</v>
      </c>
      <c r="B382">
        <f t="shared" si="9"/>
        <v>75.48366618516032</v>
      </c>
    </row>
    <row r="383">
      <c r="A383">
        <v>382</v>
      </c>
      <c r="B383">
        <f t="shared" si="9"/>
        <v>86.5500559364692</v>
      </c>
    </row>
    <row r="384">
      <c r="A384">
        <v>383</v>
      </c>
      <c r="B384">
        <f t="shared" si="9"/>
        <v>93.00171494147524</v>
      </c>
    </row>
    <row r="385">
      <c r="A385">
        <v>384</v>
      </c>
      <c r="B385">
        <f t="shared" si="9"/>
        <v>125.46447858456835</v>
      </c>
    </row>
    <row r="386">
      <c r="A386">
        <v>385</v>
      </c>
      <c r="B386">
        <f t="shared" si="9"/>
        <v>131.48339012968248</v>
      </c>
    </row>
    <row r="387">
      <c r="A387">
        <v>386</v>
      </c>
      <c r="B387">
        <f t="shared" si="9"/>
        <v>100.19998598530789</v>
      </c>
    </row>
    <row r="388">
      <c r="A388">
        <v>387</v>
      </c>
      <c r="B388">
        <f t="shared" si="9"/>
        <v>85.58212302947636</v>
      </c>
    </row>
    <row r="389">
      <c r="A389">
        <v>388</v>
      </c>
      <c r="B389">
        <f t="shared" si="9"/>
        <v>110.50089654780687</v>
      </c>
    </row>
    <row r="390">
      <c r="A390">
        <v>389</v>
      </c>
      <c r="B390">
        <f t="shared" si="9"/>
        <v>92.78246555762816</v>
      </c>
    </row>
    <row r="391">
      <c r="A391">
        <v>390</v>
      </c>
      <c r="B391">
        <f t="shared" si="9"/>
        <v>72.19068134008212</v>
      </c>
    </row>
    <row r="392">
      <c r="A392">
        <v>391</v>
      </c>
      <c r="B392">
        <f t="shared" si="9"/>
        <v>80.11632239793849</v>
      </c>
    </row>
    <row r="393">
      <c r="A393">
        <v>392</v>
      </c>
      <c r="B393">
        <f t="shared" si="9"/>
        <v>114.0010810617764</v>
      </c>
    </row>
    <row r="394">
      <c r="A394">
        <v>393</v>
      </c>
      <c r="B394">
        <f t="shared" si="9"/>
        <v>101.86313685439043</v>
      </c>
    </row>
    <row r="395">
      <c r="A395">
        <v>394</v>
      </c>
      <c r="B395">
        <f t="shared" si="9"/>
        <v>96.3716175497274</v>
      </c>
    </row>
    <row r="396">
      <c r="A396">
        <v>395</v>
      </c>
      <c r="B396">
        <f t="shared" si="9"/>
        <v>95.58790880967453</v>
      </c>
    </row>
    <row r="397">
      <c r="A397">
        <v>396</v>
      </c>
      <c r="B397">
        <f t="shared" si="9"/>
        <v>90.0207404296316</v>
      </c>
    </row>
    <row r="398">
      <c r="A398">
        <v>397</v>
      </c>
      <c r="B398">
        <f t="shared" si="9"/>
        <v>88.9992578889613</v>
      </c>
    </row>
    <row r="399">
      <c r="A399">
        <v>398</v>
      </c>
      <c r="B399">
        <f t="shared" si="9"/>
        <v>100.1321446504862</v>
      </c>
    </row>
    <row r="400">
      <c r="A400">
        <v>399</v>
      </c>
      <c r="B400">
        <f t="shared" si="9"/>
        <v>101.59769766103067</v>
      </c>
    </row>
    <row r="401">
      <c r="A401">
        <v>400</v>
      </c>
      <c r="B401">
        <f t="shared" si="9"/>
        <v>93.78854870721798</v>
      </c>
    </row>
    <row r="402">
      <c r="A402">
        <v>401</v>
      </c>
      <c r="B402">
        <f t="shared" si="9"/>
        <v>123.46072497391805</v>
      </c>
    </row>
    <row r="403">
      <c r="A403">
        <v>402</v>
      </c>
      <c r="B403">
        <f t="shared" si="9"/>
        <v>104.15651825069776</v>
      </c>
    </row>
    <row r="404">
      <c r="A404">
        <v>403</v>
      </c>
      <c r="B404">
        <f t="shared" si="9"/>
        <v>107.90874047848367</v>
      </c>
    </row>
    <row r="405">
      <c r="A405">
        <v>404</v>
      </c>
      <c r="B405">
        <f t="shared" si="9"/>
        <v>109.35119832478718</v>
      </c>
    </row>
    <row r="406">
      <c r="A406">
        <v>405</v>
      </c>
      <c r="B406">
        <f t="shared" si="9"/>
        <v>87.7439851638703</v>
      </c>
    </row>
    <row r="407">
      <c r="A407">
        <v>406</v>
      </c>
      <c r="B407">
        <f t="shared" si="9"/>
        <v>80.20939340771125</v>
      </c>
    </row>
    <row r="408">
      <c r="A408">
        <v>407</v>
      </c>
      <c r="B408">
        <f t="shared" si="9"/>
        <v>82.5281814323051</v>
      </c>
    </row>
    <row r="409">
      <c r="A409">
        <v>408</v>
      </c>
      <c r="B409">
        <f t="shared" si="9"/>
        <v>111.40088963336301</v>
      </c>
    </row>
    <row r="410">
      <c r="A410">
        <v>409</v>
      </c>
      <c r="B410">
        <f t="shared" si="9"/>
        <v>130.79087549851172</v>
      </c>
    </row>
    <row r="411">
      <c r="A411">
        <v>410</v>
      </c>
      <c r="B411">
        <f t="shared" si="9"/>
        <v>98.73399920775456</v>
      </c>
    </row>
    <row r="412">
      <c r="A412">
        <v>411</v>
      </c>
      <c r="B412">
        <f t="shared" si="9"/>
        <v>87.0645295524828</v>
      </c>
    </row>
    <row r="413">
      <c r="A413">
        <v>412</v>
      </c>
      <c r="B413">
        <f t="shared" si="9"/>
        <v>103.77978695974502</v>
      </c>
    </row>
    <row r="414">
      <c r="A414">
        <v>413</v>
      </c>
      <c r="B414">
        <f t="shared" si="9"/>
        <v>103.07944915728228</v>
      </c>
    </row>
    <row r="415">
      <c r="A415">
        <v>414</v>
      </c>
      <c r="B415">
        <f t="shared" si="9"/>
        <v>91.9060814177736</v>
      </c>
    </row>
    <row r="416">
      <c r="A416">
        <v>415</v>
      </c>
      <c r="B416">
        <f t="shared" si="9"/>
        <v>81.18765281752077</v>
      </c>
    </row>
    <row r="417">
      <c r="A417">
        <v>416</v>
      </c>
      <c r="B417">
        <f t="shared" si="9"/>
        <v>118.12510472094921</v>
      </c>
    </row>
    <row r="418">
      <c r="A418">
        <v>417</v>
      </c>
      <c r="B418">
        <f t="shared" si="9"/>
        <v>100.98328512374061</v>
      </c>
    </row>
    <row r="419">
      <c r="A419">
        <v>418</v>
      </c>
      <c r="B419">
        <f t="shared" si="9"/>
        <v>83.99476699369391</v>
      </c>
    </row>
    <row r="420">
      <c r="A420">
        <v>419</v>
      </c>
      <c r="B420">
        <f t="shared" si="9"/>
        <v>72.47054968200905</v>
      </c>
    </row>
    <row r="421">
      <c r="A421">
        <v>420</v>
      </c>
      <c r="B421">
        <f t="shared" si="9"/>
        <v>117.73335160392762</v>
      </c>
    </row>
    <row r="422">
      <c r="A422">
        <v>421</v>
      </c>
      <c r="B422">
        <f t="shared" si="9"/>
        <v>83.88732732511363</v>
      </c>
    </row>
    <row r="423">
      <c r="A423">
        <v>422</v>
      </c>
      <c r="B423">
        <f t="shared" si="9"/>
        <v>83.91049491968572</v>
      </c>
    </row>
    <row r="424">
      <c r="A424">
        <v>423</v>
      </c>
      <c r="B424">
        <f t="shared" si="9"/>
        <v>86.64516520472907</v>
      </c>
    </row>
    <row r="425">
      <c r="A425">
        <v>424</v>
      </c>
      <c r="B425">
        <f t="shared" si="9"/>
        <v>92.84494865353525</v>
      </c>
    </row>
    <row r="426">
      <c r="A426">
        <v>425</v>
      </c>
      <c r="B426">
        <f t="shared" si="9"/>
        <v>92.35747040071949</v>
      </c>
    </row>
    <row r="427">
      <c r="A427">
        <v>426</v>
      </c>
      <c r="B427">
        <f t="shared" si="9"/>
        <v>101.7220680711739</v>
      </c>
    </row>
    <row r="428">
      <c r="A428">
        <v>427</v>
      </c>
      <c r="B428">
        <f t="shared" si="9"/>
        <v>123.57194831041367</v>
      </c>
    </row>
    <row r="429">
      <c r="A429">
        <v>428</v>
      </c>
      <c r="B429">
        <f t="shared" si="9"/>
        <v>102.72313904653888</v>
      </c>
    </row>
    <row r="430">
      <c r="A430">
        <v>429</v>
      </c>
      <c r="B430">
        <f t="shared" si="9"/>
        <v>103.32633405625374</v>
      </c>
    </row>
    <row r="431">
      <c r="A431">
        <v>430</v>
      </c>
      <c r="B431">
        <f t="shared" si="9"/>
        <v>86.28111338423379</v>
      </c>
    </row>
    <row r="432">
      <c r="A432">
        <v>431</v>
      </c>
      <c r="B432">
        <f t="shared" si="9"/>
        <v>113.54111124838462</v>
      </c>
    </row>
    <row r="433">
      <c r="A433">
        <v>432</v>
      </c>
      <c r="B433">
        <f t="shared" si="9"/>
        <v>99.27815549593119</v>
      </c>
    </row>
    <row r="434">
      <c r="A434">
        <v>433</v>
      </c>
      <c r="B434">
        <f t="shared" si="9"/>
        <v>94.17110823974913</v>
      </c>
    </row>
    <row r="435">
      <c r="A435">
        <v>434</v>
      </c>
      <c r="B435">
        <f t="shared" si="9"/>
        <v>97.20579475103825</v>
      </c>
    </row>
    <row r="436">
      <c r="A436">
        <v>435</v>
      </c>
      <c r="B436">
        <f t="shared" si="9"/>
        <v>121.13949425577357</v>
      </c>
    </row>
    <row r="437">
      <c r="A437">
        <v>436</v>
      </c>
      <c r="B437">
        <f t="shared" si="9"/>
        <v>93.89147041731015</v>
      </c>
    </row>
    <row r="438">
      <c r="A438">
        <v>437</v>
      </c>
      <c r="B438">
        <f t="shared" si="9"/>
        <v>76.14172793738832</v>
      </c>
    </row>
    <row r="439">
      <c r="A439">
        <v>438</v>
      </c>
      <c r="B439">
        <f t="shared" si="9"/>
        <v>92.92593423168711</v>
      </c>
    </row>
    <row r="440">
      <c r="A440">
        <v>439</v>
      </c>
      <c r="B440">
        <f t="shared" si="9"/>
        <v>106.59670765406125</v>
      </c>
    </row>
    <row r="441">
      <c r="A441">
        <v>440</v>
      </c>
      <c r="B441">
        <f t="shared" si="9"/>
        <v>105.34424850435977</v>
      </c>
    </row>
    <row r="442">
      <c r="A442">
        <v>441</v>
      </c>
      <c r="B442">
        <f t="shared" si="9"/>
        <v>69.66135718901486</v>
      </c>
    </row>
    <row r="443">
      <c r="A443">
        <v>442</v>
      </c>
      <c r="B443">
        <f t="shared" si="9"/>
        <v>104.5041322073096</v>
      </c>
    </row>
    <row r="444">
      <c r="A444">
        <v>443</v>
      </c>
      <c r="B444">
        <f t="shared" si="9"/>
        <v>87.29525505669125</v>
      </c>
    </row>
    <row r="445">
      <c r="A445">
        <v>444</v>
      </c>
      <c r="B445">
        <f t="shared" si="9"/>
        <v>110.37773860590035</v>
      </c>
    </row>
    <row r="446">
      <c r="A446">
        <v>445</v>
      </c>
      <c r="B446">
        <f t="shared" si="9"/>
        <v>101.07509194521865</v>
      </c>
    </row>
    <row r="447">
      <c r="A447">
        <v>446</v>
      </c>
      <c r="B447">
        <f t="shared" si="9"/>
        <v>106.35708892551861</v>
      </c>
    </row>
    <row r="448">
      <c r="A448">
        <v>447</v>
      </c>
      <c r="B448">
        <f t="shared" si="9"/>
        <v>87.93592465527165</v>
      </c>
    </row>
    <row r="449">
      <c r="A449">
        <v>448</v>
      </c>
      <c r="B449">
        <f t="shared" si="9"/>
        <v>107.37050641348974</v>
      </c>
    </row>
    <row r="450">
      <c r="A450">
        <v>449</v>
      </c>
      <c r="B450">
        <f t="shared" si="9"/>
        <v>87.2601210316554</v>
      </c>
    </row>
    <row r="451">
      <c r="A451">
        <v>450</v>
      </c>
      <c r="B451">
        <f t="shared" si="9"/>
        <v>99.38284479006461</v>
      </c>
    </row>
    <row r="452">
      <c r="A452">
        <v>451</v>
      </c>
      <c r="B452">
        <f t="shared" si="9"/>
        <v>72.17671710269065</v>
      </c>
    </row>
    <row r="453">
      <c r="A453">
        <v>452</v>
      </c>
      <c r="B453">
        <f t="shared" si="9"/>
        <v>80.90025257803306</v>
      </c>
    </row>
    <row r="454">
      <c r="A454">
        <v>453</v>
      </c>
      <c r="B454">
        <f t="shared" si="9"/>
        <v>120.34550221703272</v>
      </c>
    </row>
    <row r="455">
      <c r="A455">
        <v>454</v>
      </c>
      <c r="B455">
        <f t="shared" si="9"/>
        <v>119.36523324468193</v>
      </c>
    </row>
    <row r="456">
      <c r="A456">
        <v>455</v>
      </c>
      <c r="B456">
        <f t="shared" si="9"/>
        <v>62.68213934314248</v>
      </c>
    </row>
    <row r="457">
      <c r="A457">
        <v>456</v>
      </c>
      <c r="B457">
        <f t="shared" si="9"/>
        <v>104.04140799164206</v>
      </c>
    </row>
    <row r="458">
      <c r="A458">
        <v>457</v>
      </c>
      <c r="B458">
        <f t="shared" si="9"/>
        <v>100.3379068389721</v>
      </c>
    </row>
    <row r="459">
      <c r="A459">
        <v>458</v>
      </c>
      <c r="B459">
        <f t="shared" si="9"/>
        <v>107.22304615225036</v>
      </c>
    </row>
    <row r="460">
      <c r="A460">
        <v>459</v>
      </c>
      <c r="B460">
        <f t="shared" si="9"/>
        <v>79.61804200861414</v>
      </c>
    </row>
    <row r="461">
      <c r="A461">
        <v>460</v>
      </c>
      <c r="B461">
        <f t="shared" si="9"/>
        <v>100.45523602168423</v>
      </c>
    </row>
    <row r="462">
      <c r="A462">
        <v>461</v>
      </c>
      <c r="B462">
        <f t="shared" si="9"/>
        <v>107.03584139438084</v>
      </c>
    </row>
    <row r="463">
      <c r="A463">
        <v>462</v>
      </c>
      <c r="B463">
        <f t="shared" si="9"/>
        <v>139.3357181279017</v>
      </c>
    </row>
    <row r="464">
      <c r="A464">
        <v>463</v>
      </c>
      <c r="B464">
        <f t="shared" si="9"/>
        <v>105.0623603278715</v>
      </c>
    </row>
    <row r="465">
      <c r="A465">
        <v>464</v>
      </c>
      <c r="B465">
        <f t="shared" si="9"/>
        <v>92.89154084709793</v>
      </c>
    </row>
    <row r="466">
      <c r="A466">
        <v>465</v>
      </c>
      <c r="B466">
        <f t="shared" si="9"/>
        <v>115.44674050757422</v>
      </c>
    </row>
    <row r="467">
      <c r="A467">
        <v>466</v>
      </c>
      <c r="B467">
        <f t="shared" si="9"/>
        <v>93.95983657910507</v>
      </c>
    </row>
    <row r="468">
      <c r="A468">
        <v>467</v>
      </c>
      <c r="B468">
        <f t="shared" si="9"/>
        <v>100.10832362185417</v>
      </c>
    </row>
    <row r="469">
      <c r="A469">
        <v>468</v>
      </c>
      <c r="B469">
        <f t="shared" si="9"/>
        <v>96.63259581782694</v>
      </c>
    </row>
    <row r="470">
      <c r="A470">
        <v>469</v>
      </c>
      <c r="B470">
        <f t="shared" si="9"/>
        <v>95.73580065923248</v>
      </c>
    </row>
    <row r="471">
      <c r="A471">
        <v>470</v>
      </c>
      <c r="B471">
        <f t="shared" si="9"/>
        <v>98.64193479090716</v>
      </c>
    </row>
    <row r="472">
      <c r="A472">
        <v>471</v>
      </c>
      <c r="B472">
        <f t="shared" si="9"/>
        <v>79.02456495735616</v>
      </c>
    </row>
    <row r="473">
      <c r="A473">
        <v>472</v>
      </c>
      <c r="B473">
        <f t="shared" si="9"/>
        <v>87.36058185760037</v>
      </c>
    </row>
    <row r="474">
      <c r="A474">
        <v>473</v>
      </c>
      <c r="B474">
        <f t="shared" si="9"/>
        <v>117.6380349351181</v>
      </c>
    </row>
    <row r="475">
      <c r="A475">
        <v>474</v>
      </c>
      <c r="B475">
        <f t="shared" si="9"/>
        <v>115.76914800073209</v>
      </c>
    </row>
    <row r="476">
      <c r="A476">
        <v>475</v>
      </c>
      <c r="B476">
        <f t="shared" si="9"/>
        <v>111.51277499966253</v>
      </c>
    </row>
    <row r="477">
      <c r="A477">
        <v>476</v>
      </c>
      <c r="B477">
        <f t="shared" si="9"/>
        <v>93.24417817757522</v>
      </c>
    </row>
    <row r="478">
      <c r="A478">
        <v>477</v>
      </c>
      <c r="B478">
        <f t="shared" si="9"/>
        <v>73.84090136388923</v>
      </c>
    </row>
    <row r="479">
      <c r="A479">
        <v>478</v>
      </c>
      <c r="B479">
        <f t="shared" si="9"/>
        <v>109.63895283198109</v>
      </c>
    </row>
    <row r="480">
      <c r="A480">
        <v>479</v>
      </c>
      <c r="B480">
        <f t="shared" si="9"/>
        <v>99.88639602971175</v>
      </c>
    </row>
    <row r="481">
      <c r="A481">
        <v>480</v>
      </c>
      <c r="B481">
        <f t="shared" si="9"/>
        <v>93.71002564959444</v>
      </c>
    </row>
    <row r="482">
      <c r="A482">
        <v>481</v>
      </c>
      <c r="B482">
        <f t="shared" si="9"/>
        <v>73.62196241681168</v>
      </c>
    </row>
    <row r="483">
      <c r="A483">
        <v>482</v>
      </c>
      <c r="B483">
        <f t="shared" si="9"/>
        <v>67.34534149623128</v>
      </c>
    </row>
    <row r="484">
      <c r="A484">
        <v>483</v>
      </c>
      <c r="B484">
        <f t="shared" si="9"/>
        <v>125.45533234547696</v>
      </c>
    </row>
    <row r="485">
      <c r="A485">
        <v>484</v>
      </c>
      <c r="B485">
        <f t="shared" si="9"/>
        <v>104.53694673526772</v>
      </c>
    </row>
    <row r="486">
      <c r="A486">
        <v>485</v>
      </c>
      <c r="B486">
        <f t="shared" si="9"/>
        <v>87.7123643124487</v>
      </c>
    </row>
    <row r="487">
      <c r="A487">
        <v>486</v>
      </c>
      <c r="B487">
        <f t="shared" si="9"/>
        <v>81.25114519655467</v>
      </c>
    </row>
    <row r="488">
      <c r="A488">
        <v>487</v>
      </c>
      <c r="B488">
        <f t="shared" si="9"/>
        <v>96.00383575466716</v>
      </c>
    </row>
    <row r="489">
      <c r="A489">
        <v>488</v>
      </c>
      <c r="B489">
        <f t="shared" si="9"/>
        <v>85.3543547197253</v>
      </c>
    </row>
    <row r="490">
      <c r="A490">
        <v>489</v>
      </c>
      <c r="B490">
        <f t="shared" si="9"/>
        <v>99.69619996390259</v>
      </c>
    </row>
    <row r="491">
      <c r="A491">
        <v>490</v>
      </c>
      <c r="B491">
        <f t="shared" si="9"/>
        <v>108.23898817492656</v>
      </c>
    </row>
    <row r="492">
      <c r="A492">
        <v>491</v>
      </c>
      <c r="B492">
        <f t="shared" si="9"/>
        <v>102.03946187295608</v>
      </c>
    </row>
    <row r="493">
      <c r="A493">
        <v>492</v>
      </c>
      <c r="B493">
        <f t="shared" si="9"/>
        <v>101.0878662010402</v>
      </c>
    </row>
    <row r="494">
      <c r="A494">
        <v>493</v>
      </c>
      <c r="B494">
        <f t="shared" si="9"/>
        <v>80.45826783003918</v>
      </c>
    </row>
    <row r="495">
      <c r="A495">
        <v>494</v>
      </c>
      <c r="B495">
        <f t="shared" si="9"/>
        <v>108.81755212849875</v>
      </c>
    </row>
    <row r="496">
      <c r="A496">
        <v>495</v>
      </c>
      <c r="B496">
        <f t="shared" si="9"/>
        <v>104.17564317704105</v>
      </c>
    </row>
    <row r="497">
      <c r="A497">
        <v>496</v>
      </c>
      <c r="B497">
        <f t="shared" si="9"/>
        <v>93.81242864776267</v>
      </c>
    </row>
    <row r="498">
      <c r="A498">
        <v>497</v>
      </c>
      <c r="B498">
        <f t="shared" si="9"/>
        <v>87.47336370412637</v>
      </c>
    </row>
    <row r="499">
      <c r="A499">
        <v>498</v>
      </c>
      <c r="B499">
        <f t="shared" si="9"/>
        <v>91.71998853309496</v>
      </c>
    </row>
    <row r="500">
      <c r="A500">
        <v>499</v>
      </c>
      <c r="B500">
        <f t="shared" si="9"/>
        <v>86.31579290200877</v>
      </c>
    </row>
    <row r="501">
      <c r="A501">
        <v>500</v>
      </c>
      <c r="B501">
        <f t="shared" si="9"/>
        <v>114.06580545253473</v>
      </c>
    </row>
    <row r="502">
      <c r="A502">
        <v>501</v>
      </c>
      <c r="B502">
        <f t="shared" si="9"/>
        <v>102.934503905041</v>
      </c>
    </row>
    <row r="503">
      <c r="A503">
        <v>502</v>
      </c>
      <c r="B503">
        <f t="shared" si="9"/>
        <v>96.46408995868774</v>
      </c>
    </row>
    <row r="504">
      <c r="A504">
        <v>503</v>
      </c>
      <c r="B504">
        <f t="shared" si="9"/>
        <v>86.91651740341712</v>
      </c>
    </row>
    <row r="505">
      <c r="A505">
        <v>504</v>
      </c>
      <c r="B505">
        <f t="shared" si="9"/>
        <v>113.68773797455073</v>
      </c>
    </row>
    <row r="506">
      <c r="A506">
        <v>505</v>
      </c>
      <c r="B506">
        <f t="shared" si="9"/>
        <v>94.15247003333418</v>
      </c>
    </row>
    <row r="507">
      <c r="A507">
        <v>506</v>
      </c>
      <c r="B507">
        <f t="shared" si="9"/>
        <v>92.31548216101712</v>
      </c>
    </row>
    <row r="508">
      <c r="A508">
        <v>507</v>
      </c>
      <c r="B508">
        <f t="shared" si="9"/>
        <v>111.37076925669541</v>
      </c>
    </row>
    <row r="509">
      <c r="A509">
        <v>508</v>
      </c>
      <c r="B509">
        <f t="shared" si="9"/>
        <v>104.2534137610886</v>
      </c>
    </row>
    <row r="510">
      <c r="A510">
        <v>509</v>
      </c>
      <c r="B510">
        <f t="shared" si="9"/>
        <v>99.43096477890197</v>
      </c>
    </row>
    <row r="511">
      <c r="A511">
        <v>510</v>
      </c>
      <c r="B511">
        <f t="shared" si="9"/>
        <v>109.81093937776643</v>
      </c>
    </row>
    <row r="512">
      <c r="A512">
        <v>511</v>
      </c>
      <c r="B512">
        <f t="shared" si="9"/>
        <v>64.52601316607908</v>
      </c>
    </row>
    <row r="513">
      <c r="A513">
        <v>512</v>
      </c>
      <c r="B513">
        <f t="shared" si="9"/>
        <v>105.69263257846926</v>
      </c>
    </row>
    <row r="514">
      <c r="A514">
        <v>513</v>
      </c>
      <c r="B514">
        <f t="shared" si="9"/>
        <v>104.63430105075703</v>
      </c>
    </row>
    <row r="515">
      <c r="A515">
        <v>514</v>
      </c>
      <c r="B515">
        <f t="shared" si="9"/>
        <v>83.17121231256229</v>
      </c>
    </row>
    <row r="516">
      <c r="A516">
        <v>515</v>
      </c>
      <c r="B516">
        <f t="shared" si="9"/>
        <v>90.1726165396752</v>
      </c>
    </row>
    <row r="517">
      <c r="A517">
        <v>516</v>
      </c>
      <c r="B517">
        <f t="shared" si="9"/>
        <v>92.33514042910545</v>
      </c>
    </row>
    <row r="518">
      <c r="A518">
        <v>517</v>
      </c>
      <c r="B518">
        <f t="shared" si="9"/>
        <v>108.09124134924718</v>
      </c>
    </row>
    <row r="519">
      <c r="A519">
        <v>518</v>
      </c>
      <c r="B519">
        <f t="shared" si="9"/>
        <v>117.58931660867192</v>
      </c>
    </row>
    <row r="520">
      <c r="A520">
        <v>519</v>
      </c>
      <c r="B520">
        <f t="shared" si="9"/>
        <v>109.7234890102472</v>
      </c>
    </row>
    <row r="521">
      <c r="A521">
        <v>520</v>
      </c>
      <c r="B521">
        <f t="shared" si="9"/>
        <v>98.81214900881132</v>
      </c>
    </row>
    <row r="522">
      <c r="A522">
        <v>521</v>
      </c>
      <c r="B522">
        <f t="shared" si="9"/>
        <v>73.28995989422336</v>
      </c>
    </row>
    <row r="523">
      <c r="A523">
        <v>522</v>
      </c>
      <c r="B523">
        <f t="shared" si="9"/>
        <v>123.62584030372297</v>
      </c>
    </row>
    <row r="524">
      <c r="A524">
        <v>523</v>
      </c>
      <c r="B524">
        <f t="shared" si="9"/>
        <v>99.59231754715981</v>
      </c>
    </row>
    <row r="525">
      <c r="A525">
        <v>524</v>
      </c>
      <c r="B525">
        <f t="shared" si="9"/>
        <v>111.43891082971743</v>
      </c>
    </row>
    <row r="526">
      <c r="A526">
        <v>525</v>
      </c>
      <c r="B526">
        <f t="shared" si="9"/>
        <v>103.17776881643044</v>
      </c>
    </row>
    <row r="527">
      <c r="A527">
        <v>526</v>
      </c>
      <c r="B527">
        <f t="shared" si="9"/>
        <v>100.18687335655818</v>
      </c>
    </row>
    <row r="528">
      <c r="A528">
        <v>527</v>
      </c>
      <c r="B528">
        <f t="shared" si="9"/>
        <v>90.47145559297978</v>
      </c>
    </row>
    <row r="529">
      <c r="A529">
        <v>528</v>
      </c>
      <c r="B529">
        <f t="shared" si="9"/>
        <v>100.86832808632097</v>
      </c>
    </row>
    <row r="530">
      <c r="A530">
        <v>529</v>
      </c>
      <c r="B530">
        <f t="shared" si="9"/>
        <v>82.15634931126651</v>
      </c>
    </row>
    <row r="531">
      <c r="A531">
        <v>530</v>
      </c>
      <c r="B531">
        <f t="shared" si="9"/>
        <v>79.68183335590027</v>
      </c>
    </row>
    <row r="532">
      <c r="A532">
        <v>531</v>
      </c>
      <c r="B532">
        <f t="shared" si="9"/>
        <v>109.63966613205287</v>
      </c>
    </row>
    <row r="533">
      <c r="A533">
        <v>532</v>
      </c>
      <c r="B533">
        <f t="shared" si="9"/>
        <v>114.97925184394825</v>
      </c>
    </row>
    <row r="534">
      <c r="A534">
        <v>533</v>
      </c>
      <c r="B534">
        <f t="shared" si="9"/>
        <v>106.20821980189656</v>
      </c>
    </row>
    <row r="535">
      <c r="A535">
        <v>534</v>
      </c>
      <c r="B535">
        <f t="shared" si="9"/>
        <v>97.60228198890637</v>
      </c>
    </row>
    <row r="536">
      <c r="A536">
        <v>535</v>
      </c>
      <c r="B536">
        <f t="shared" si="9"/>
        <v>109.30211182408297</v>
      </c>
    </row>
    <row r="537">
      <c r="A537">
        <v>536</v>
      </c>
      <c r="B537">
        <f t="shared" si="9"/>
        <v>112.58128607564974</v>
      </c>
    </row>
    <row r="538">
      <c r="A538">
        <v>537</v>
      </c>
      <c r="B538">
        <f t="shared" si="9"/>
        <v>122.57689284711324</v>
      </c>
    </row>
    <row r="539">
      <c r="A539">
        <v>538</v>
      </c>
      <c r="B539">
        <f t="shared" si="9"/>
        <v>126.52300178998794</v>
      </c>
    </row>
    <row r="540">
      <c r="A540">
        <v>539</v>
      </c>
      <c r="B540">
        <f t="shared" si="9"/>
        <v>90.37508673276446</v>
      </c>
    </row>
    <row r="541">
      <c r="A541">
        <v>540</v>
      </c>
      <c r="B541">
        <f t="shared" si="9"/>
        <v>87.57494842940567</v>
      </c>
    </row>
    <row r="542">
      <c r="A542">
        <v>541</v>
      </c>
      <c r="B542">
        <f t="shared" si="9"/>
        <v>112.00477488175085</v>
      </c>
    </row>
    <row r="543">
      <c r="A543">
        <v>542</v>
      </c>
      <c r="B543">
        <f t="shared" si="9"/>
        <v>88.67627643726935</v>
      </c>
    </row>
    <row r="544">
      <c r="A544">
        <v>543</v>
      </c>
      <c r="B544">
        <f t="shared" si="9"/>
        <v>73.37614935559112</v>
      </c>
    </row>
    <row r="545">
      <c r="A545">
        <v>544</v>
      </c>
      <c r="B545">
        <f t="shared" si="9"/>
        <v>104.16171005564952</v>
      </c>
    </row>
    <row r="546">
      <c r="A546">
        <v>545</v>
      </c>
      <c r="B546">
        <f t="shared" si="9"/>
        <v>109.16723077955211</v>
      </c>
    </row>
    <row r="547">
      <c r="A547">
        <v>546</v>
      </c>
      <c r="B547">
        <f t="shared" si="9"/>
        <v>106.66013385599152</v>
      </c>
    </row>
    <row r="548">
      <c r="A548">
        <v>547</v>
      </c>
      <c r="B548">
        <f t="shared" si="9"/>
        <v>104.58602150799037</v>
      </c>
    </row>
    <row r="549">
      <c r="A549">
        <v>548</v>
      </c>
      <c r="B549">
        <f t="shared" si="9"/>
        <v>108.12516507298712</v>
      </c>
    </row>
    <row r="550">
      <c r="A550">
        <v>549</v>
      </c>
      <c r="B550">
        <f t="shared" si="9"/>
        <v>94.76410717390458</v>
      </c>
    </row>
    <row r="551">
      <c r="A551">
        <v>550</v>
      </c>
      <c r="B551">
        <f t="shared" si="9"/>
        <v>94.50513838813954</v>
      </c>
    </row>
    <row r="552">
      <c r="A552">
        <v>551</v>
      </c>
      <c r="B552">
        <f t="shared" si="9"/>
        <v>134.42898976772045</v>
      </c>
    </row>
    <row r="553">
      <c r="A553">
        <v>552</v>
      </c>
      <c r="B553">
        <f t="shared" si="9"/>
        <v>97.86897518717123</v>
      </c>
    </row>
    <row r="554">
      <c r="A554">
        <v>553</v>
      </c>
      <c r="B554">
        <f t="shared" si="9"/>
        <v>97.73643176798376</v>
      </c>
    </row>
    <row r="555">
      <c r="A555">
        <v>554</v>
      </c>
      <c r="B555">
        <f t="shared" si="9"/>
        <v>80.36556298339075</v>
      </c>
    </row>
    <row r="556">
      <c r="A556">
        <v>555</v>
      </c>
      <c r="B556">
        <f t="shared" si="9"/>
        <v>87.3399156419166</v>
      </c>
    </row>
    <row r="557">
      <c r="A557">
        <v>556</v>
      </c>
      <c r="B557">
        <f t="shared" si="9"/>
        <v>119.54475268795031</v>
      </c>
    </row>
    <row r="558">
      <c r="A558">
        <v>557</v>
      </c>
      <c r="B558">
        <f t="shared" si="9"/>
        <v>113.5819188396452</v>
      </c>
    </row>
    <row r="559">
      <c r="A559">
        <v>558</v>
      </c>
      <c r="B559">
        <f t="shared" si="9"/>
        <v>106.72845917442233</v>
      </c>
    </row>
    <row r="560">
      <c r="A560">
        <v>559</v>
      </c>
      <c r="B560">
        <f t="shared" si="9"/>
        <v>97.2936087689286</v>
      </c>
    </row>
    <row r="561">
      <c r="A561">
        <v>560</v>
      </c>
      <c r="B561">
        <f t="shared" si="9"/>
        <v>102.51491368025314</v>
      </c>
    </row>
    <row r="562">
      <c r="A562">
        <v>561</v>
      </c>
      <c r="B562">
        <f t="shared" si="9"/>
        <v>102.18241222424268</v>
      </c>
    </row>
    <row r="563">
      <c r="A563">
        <v>562</v>
      </c>
      <c r="B563">
        <f t="shared" si="9"/>
        <v>81.86228113376762</v>
      </c>
    </row>
    <row r="564">
      <c r="A564">
        <v>563</v>
      </c>
      <c r="B564">
        <f t="shared" si="9"/>
        <v>108.29925838173764</v>
      </c>
    </row>
    <row r="565">
      <c r="A565">
        <v>564</v>
      </c>
      <c r="B565">
        <f t="shared" si="9"/>
        <v>99.24899684647964</v>
      </c>
    </row>
    <row r="566">
      <c r="A566">
        <v>565</v>
      </c>
      <c r="B566">
        <f t="shared" si="9"/>
        <v>104.77162171212949</v>
      </c>
    </row>
    <row r="567">
      <c r="A567">
        <v>566</v>
      </c>
      <c r="B567">
        <f t="shared" si="9"/>
        <v>71.71409335784293</v>
      </c>
    </row>
    <row r="568">
      <c r="A568">
        <v>567</v>
      </c>
      <c r="B568">
        <f t="shared" si="9"/>
        <v>100.83290626817343</v>
      </c>
    </row>
    <row r="569">
      <c r="A569">
        <v>568</v>
      </c>
      <c r="B569">
        <f t="shared" si="9"/>
        <v>91.13559987296948</v>
      </c>
    </row>
    <row r="570">
      <c r="A570">
        <v>569</v>
      </c>
      <c r="B570">
        <f t="shared" si="9"/>
        <v>107.43432425184211</v>
      </c>
    </row>
    <row r="571">
      <c r="A571">
        <v>570</v>
      </c>
      <c r="B571">
        <f t="shared" si="9"/>
        <v>92.92468053711625</v>
      </c>
    </row>
    <row r="572">
      <c r="A572">
        <v>571</v>
      </c>
      <c r="B572">
        <f t="shared" si="9"/>
        <v>88.68602604349662</v>
      </c>
    </row>
    <row r="573">
      <c r="A573">
        <v>572</v>
      </c>
      <c r="B573">
        <f t="shared" si="9"/>
        <v>55.616337287426894</v>
      </c>
    </row>
    <row r="574">
      <c r="A574">
        <v>573</v>
      </c>
      <c r="B574">
        <f t="shared" si="9"/>
        <v>111.06181917201651</v>
      </c>
    </row>
    <row r="575">
      <c r="A575">
        <v>574</v>
      </c>
      <c r="B575">
        <f t="shared" si="9"/>
        <v>91.31608267027335</v>
      </c>
    </row>
    <row r="576">
      <c r="A576">
        <v>575</v>
      </c>
      <c r="B576">
        <f t="shared" si="9"/>
        <v>114.35623895300812</v>
      </c>
    </row>
    <row r="577">
      <c r="A577">
        <v>576</v>
      </c>
      <c r="B577">
        <f t="shared" si="9"/>
        <v>89.82424769294947</v>
      </c>
    </row>
    <row r="578">
      <c r="A578">
        <v>577</v>
      </c>
      <c r="B578">
        <f t="shared" si="9"/>
        <v>103.16488301970249</v>
      </c>
    </row>
    <row r="579">
      <c r="A579">
        <v>578</v>
      </c>
      <c r="B579">
        <f t="shared" si="9"/>
        <v>89.54828104370482</v>
      </c>
    </row>
    <row r="580">
      <c r="A580">
        <v>579</v>
      </c>
      <c r="B580">
        <f t="shared" si="9"/>
        <v>114.51298986426623</v>
      </c>
    </row>
    <row r="581">
      <c r="A581">
        <v>580</v>
      </c>
      <c r="B581">
        <f t="shared" si="9"/>
        <v>84.9353096703041</v>
      </c>
    </row>
    <row r="582">
      <c r="A582">
        <v>581</v>
      </c>
      <c r="B582">
        <f t="shared" si="9"/>
        <v>80.50576966467914</v>
      </c>
    </row>
    <row r="583">
      <c r="A583">
        <v>582</v>
      </c>
      <c r="B583">
        <f t="shared" si="9"/>
        <v>126.44010497561541</v>
      </c>
    </row>
    <row r="584">
      <c r="A584">
        <v>583</v>
      </c>
      <c r="B584">
        <f t="shared" si="9"/>
        <v>99.79544675620033</v>
      </c>
    </row>
    <row r="585">
      <c r="A585">
        <v>584</v>
      </c>
      <c r="B585">
        <f t="shared" si="9"/>
        <v>100.19216285706845</v>
      </c>
    </row>
    <row r="586">
      <c r="A586">
        <v>585</v>
      </c>
      <c r="B586">
        <f t="shared" si="9"/>
        <v>91.64132370297217</v>
      </c>
    </row>
    <row r="587">
      <c r="A587">
        <v>586</v>
      </c>
      <c r="B587">
        <f t="shared" si="9"/>
        <v>87.14876414115012</v>
      </c>
    </row>
    <row r="588">
      <c r="A588">
        <v>587</v>
      </c>
      <c r="B588">
        <f t="shared" si="9"/>
        <v>100.59926641978754</v>
      </c>
    </row>
    <row r="589">
      <c r="A589">
        <v>588</v>
      </c>
      <c r="B589">
        <f t="shared" si="9"/>
        <v>93.1463449746038</v>
      </c>
    </row>
    <row r="590">
      <c r="A590">
        <v>589</v>
      </c>
      <c r="B590">
        <f t="shared" si="9"/>
        <v>93.96647337237268</v>
      </c>
    </row>
    <row r="591">
      <c r="A591">
        <v>590</v>
      </c>
      <c r="B591">
        <f t="shared" si="9"/>
        <v>100.33001140472305</v>
      </c>
    </row>
    <row r="592">
      <c r="A592">
        <v>591</v>
      </c>
      <c r="B592">
        <f t="shared" si="9"/>
        <v>107.92489322561526</v>
      </c>
    </row>
    <row r="593">
      <c r="A593">
        <v>592</v>
      </c>
      <c r="B593">
        <f t="shared" si="9"/>
        <v>98.59833307901002</v>
      </c>
    </row>
    <row r="594">
      <c r="A594">
        <v>593</v>
      </c>
      <c r="B594">
        <f t="shared" si="9"/>
        <v>106.17503180899713</v>
      </c>
    </row>
    <row r="595">
      <c r="A595">
        <v>594</v>
      </c>
      <c r="B595">
        <f t="shared" si="9"/>
        <v>106.11499303595743</v>
      </c>
    </row>
    <row r="596">
      <c r="A596">
        <v>595</v>
      </c>
      <c r="B596">
        <f t="shared" si="9"/>
        <v>100.08088637507164</v>
      </c>
    </row>
    <row r="597">
      <c r="A597">
        <v>596</v>
      </c>
      <c r="B597">
        <f t="shared" si="9"/>
        <v>90.83667279313322</v>
      </c>
    </row>
    <row r="598">
      <c r="A598">
        <v>597</v>
      </c>
      <c r="B598">
        <f t="shared" si="9"/>
        <v>105.48197816197312</v>
      </c>
    </row>
    <row r="599">
      <c r="A599">
        <v>598</v>
      </c>
      <c r="B599">
        <f t="shared" si="9"/>
        <v>93.90715931943421</v>
      </c>
    </row>
    <row r="600">
      <c r="A600">
        <v>599</v>
      </c>
      <c r="B600">
        <f t="shared" si="9"/>
        <v>116.74645576938866</v>
      </c>
    </row>
    <row r="601">
      <c r="A601">
        <v>600</v>
      </c>
      <c r="B601">
        <f t="shared" si="9"/>
        <v>95.3159421655498</v>
      </c>
    </row>
    <row r="602">
      <c r="A602">
        <v>601</v>
      </c>
      <c r="B602">
        <f t="shared" si="9"/>
        <v>87.64111332551253</v>
      </c>
    </row>
    <row r="603">
      <c r="A603">
        <v>602</v>
      </c>
      <c r="B603">
        <f t="shared" si="9"/>
        <v>94.55397417645652</v>
      </c>
    </row>
    <row r="604">
      <c r="A604">
        <v>603</v>
      </c>
      <c r="B604">
        <f t="shared" si="9"/>
        <v>103.41483379517538</v>
      </c>
    </row>
    <row r="605">
      <c r="A605">
        <v>604</v>
      </c>
      <c r="B605">
        <f t="shared" si="9"/>
        <v>92.36673440774734</v>
      </c>
    </row>
    <row r="606">
      <c r="A606">
        <v>605</v>
      </c>
      <c r="B606">
        <f t="shared" si="9"/>
        <v>91.0713926818436</v>
      </c>
    </row>
    <row r="607">
      <c r="A607">
        <v>606</v>
      </c>
      <c r="B607">
        <f t="shared" si="9"/>
        <v>99.00910533976875</v>
      </c>
    </row>
    <row r="608">
      <c r="A608">
        <v>607</v>
      </c>
      <c r="B608">
        <f t="shared" si="9"/>
        <v>98.35253273209621</v>
      </c>
    </row>
    <row r="609">
      <c r="A609">
        <v>608</v>
      </c>
      <c r="B609">
        <f t="shared" si="9"/>
        <v>85.65950862278795</v>
      </c>
    </row>
    <row r="610">
      <c r="A610">
        <v>609</v>
      </c>
      <c r="B610">
        <f t="shared" si="9"/>
        <v>112.78770586615786</v>
      </c>
    </row>
    <row r="611">
      <c r="A611">
        <v>610</v>
      </c>
      <c r="B611">
        <f t="shared" si="9"/>
        <v>96.01032700268466</v>
      </c>
    </row>
    <row r="612">
      <c r="A612">
        <v>611</v>
      </c>
      <c r="B612">
        <f t="shared" si="9"/>
        <v>137.90242043954</v>
      </c>
    </row>
    <row r="613">
      <c r="A613">
        <v>612</v>
      </c>
      <c r="B613">
        <f t="shared" si="9"/>
        <v>111.94258406326028</v>
      </c>
    </row>
    <row r="614">
      <c r="A614">
        <v>613</v>
      </c>
      <c r="B614">
        <f t="shared" si="9"/>
        <v>86.079277183443</v>
      </c>
    </row>
    <row r="615">
      <c r="A615">
        <v>614</v>
      </c>
      <c r="B615">
        <f t="shared" si="9"/>
        <v>70.55903390177865</v>
      </c>
    </row>
    <row r="616">
      <c r="A616">
        <v>615</v>
      </c>
      <c r="B616">
        <f t="shared" si="9"/>
        <v>95.98830010126206</v>
      </c>
    </row>
    <row r="617">
      <c r="A617">
        <v>616</v>
      </c>
      <c r="B617">
        <f t="shared" si="9"/>
        <v>95.27341721441964</v>
      </c>
    </row>
    <row r="618">
      <c r="A618">
        <v>617</v>
      </c>
      <c r="B618">
        <f t="shared" si="9"/>
        <v>102.61506686286947</v>
      </c>
    </row>
    <row r="619">
      <c r="A619">
        <v>618</v>
      </c>
      <c r="B619">
        <f t="shared" si="9"/>
        <v>86.09593146506032</v>
      </c>
    </row>
    <row r="620">
      <c r="A620">
        <v>619</v>
      </c>
      <c r="B620">
        <f t="shared" si="9"/>
        <v>80.30321311581875</v>
      </c>
    </row>
    <row r="621">
      <c r="A621">
        <v>620</v>
      </c>
      <c r="B621">
        <f t="shared" si="9"/>
        <v>97.08109666484145</v>
      </c>
    </row>
    <row r="622">
      <c r="A622">
        <v>621</v>
      </c>
      <c r="B622">
        <f t="shared" si="9"/>
        <v>119.23642775523646</v>
      </c>
    </row>
    <row r="623">
      <c r="A623">
        <v>622</v>
      </c>
      <c r="B623">
        <f t="shared" si="9"/>
        <v>108.55622523718688</v>
      </c>
    </row>
    <row r="624">
      <c r="A624">
        <v>623</v>
      </c>
      <c r="B624">
        <f t="shared" si="9"/>
        <v>80.8515471856081</v>
      </c>
    </row>
    <row r="625">
      <c r="A625">
        <v>624</v>
      </c>
      <c r="B625">
        <f t="shared" si="9"/>
        <v>108.86188927777808</v>
      </c>
    </row>
    <row r="626">
      <c r="A626">
        <v>625</v>
      </c>
      <c r="B626">
        <f t="shared" si="9"/>
        <v>109.80369886702488</v>
      </c>
    </row>
    <row r="627">
      <c r="A627">
        <v>626</v>
      </c>
      <c r="B627">
        <f t="shared" si="9"/>
        <v>75.87206906145751</v>
      </c>
    </row>
    <row r="628">
      <c r="A628">
        <v>627</v>
      </c>
      <c r="B628">
        <f t="shared" si="9"/>
        <v>99.73612745161097</v>
      </c>
    </row>
    <row r="629">
      <c r="A629">
        <v>628</v>
      </c>
      <c r="B629">
        <f t="shared" si="9"/>
        <v>85.89944847168611</v>
      </c>
    </row>
    <row r="630">
      <c r="A630">
        <v>629</v>
      </c>
      <c r="B630">
        <f t="shared" si="9"/>
        <v>98.78159834312207</v>
      </c>
    </row>
    <row r="631">
      <c r="A631">
        <v>630</v>
      </c>
      <c r="B631">
        <f t="shared" si="9"/>
        <v>119.34962750477786</v>
      </c>
    </row>
    <row r="632">
      <c r="A632">
        <v>631</v>
      </c>
      <c r="B632">
        <f t="shared" si="9"/>
        <v>115.79084949653806</v>
      </c>
    </row>
    <row r="633">
      <c r="A633">
        <v>632</v>
      </c>
      <c r="B633">
        <f t="shared" si="9"/>
        <v>92.30856692849375</v>
      </c>
    </row>
    <row r="634">
      <c r="A634">
        <v>633</v>
      </c>
      <c r="B634">
        <f t="shared" si="9"/>
        <v>108.10100437882453</v>
      </c>
    </row>
    <row r="635">
      <c r="A635">
        <v>634</v>
      </c>
      <c r="B635">
        <f t="shared" si="9"/>
        <v>93.64521139255835</v>
      </c>
    </row>
    <row r="636">
      <c r="A636">
        <v>635</v>
      </c>
      <c r="B636">
        <f t="shared" si="9"/>
        <v>137.97732118315255</v>
      </c>
    </row>
    <row r="637">
      <c r="A637">
        <v>636</v>
      </c>
      <c r="B637">
        <f t="shared" si="9"/>
        <v>90.11254039701265</v>
      </c>
    </row>
    <row r="638">
      <c r="A638">
        <v>637</v>
      </c>
      <c r="B638">
        <f t="shared" si="9"/>
        <v>87.05489243915565</v>
      </c>
    </row>
    <row r="639">
      <c r="A639">
        <v>638</v>
      </c>
      <c r="B639">
        <f t="shared" si="9"/>
        <v>97.42057198831255</v>
      </c>
    </row>
    <row r="640">
      <c r="A640">
        <v>639</v>
      </c>
      <c r="B640">
        <f t="shared" si="9"/>
        <v>101.2141699844931</v>
      </c>
    </row>
    <row r="641">
      <c r="A641">
        <v>640</v>
      </c>
      <c r="B641">
        <f t="shared" si="9"/>
        <v>85.65277586874802</v>
      </c>
    </row>
    <row r="642">
      <c r="A642">
        <v>641</v>
      </c>
      <c r="B642">
        <f t="shared" si="9"/>
        <v>103.44637173161782</v>
      </c>
    </row>
    <row r="643">
      <c r="A643">
        <v>642</v>
      </c>
      <c r="B643">
        <f t="shared" si="9"/>
        <v>109.56303094178291</v>
      </c>
    </row>
    <row r="644">
      <c r="A644">
        <v>643</v>
      </c>
      <c r="B644">
        <f t="shared" si="9"/>
        <v>89.51022341004725</v>
      </c>
    </row>
    <row r="645">
      <c r="A645">
        <v>644</v>
      </c>
      <c r="B645">
        <f t="shared" si="9"/>
        <v>110.75205784451624</v>
      </c>
    </row>
    <row r="646">
      <c r="A646">
        <v>645</v>
      </c>
      <c r="B646">
        <f t="shared" si="9"/>
        <v>88.431173405657</v>
      </c>
    </row>
    <row r="647">
      <c r="A647">
        <v>646</v>
      </c>
      <c r="B647">
        <f t="shared" si="9"/>
        <v>97.57886672115593</v>
      </c>
    </row>
    <row r="648">
      <c r="A648">
        <v>647</v>
      </c>
      <c r="B648">
        <f t="shared" si="9"/>
        <v>96.66676626254521</v>
      </c>
    </row>
    <row r="649">
      <c r="A649">
        <v>648</v>
      </c>
      <c r="B649">
        <f t="shared" si="9"/>
        <v>84.29239312796587</v>
      </c>
    </row>
    <row r="650">
      <c r="A650">
        <v>649</v>
      </c>
      <c r="B650">
        <f t="shared" si="9"/>
        <v>88.73892732817924</v>
      </c>
    </row>
    <row r="651">
      <c r="A651">
        <v>650</v>
      </c>
      <c r="B651">
        <f t="shared" si="9"/>
        <v>85.32646223594779</v>
      </c>
    </row>
    <row r="652">
      <c r="A652">
        <v>651</v>
      </c>
      <c r="B652">
        <f t="shared" si="9"/>
        <v>118.06170787429265</v>
      </c>
    </row>
    <row r="653">
      <c r="A653">
        <v>652</v>
      </c>
      <c r="B653">
        <f t="shared" si="9"/>
        <v>116.12573750832391</v>
      </c>
    </row>
    <row r="654">
      <c r="A654">
        <v>653</v>
      </c>
      <c r="B654">
        <f t="shared" si="9"/>
        <v>96.7878228429251</v>
      </c>
    </row>
    <row r="655">
      <c r="A655">
        <v>654</v>
      </c>
      <c r="B655">
        <f t="shared" si="9"/>
        <v>87.97039982053728</v>
      </c>
    </row>
    <row r="656">
      <c r="A656">
        <v>655</v>
      </c>
      <c r="B656">
        <f t="shared" si="9"/>
        <v>101.47490215961581</v>
      </c>
    </row>
    <row r="657">
      <c r="A657">
        <v>656</v>
      </c>
      <c r="B657">
        <f t="shared" si="9"/>
        <v>80.89448620053304</v>
      </c>
    </row>
    <row r="658">
      <c r="A658">
        <v>657</v>
      </c>
      <c r="B658">
        <f t="shared" si="9"/>
        <v>115.40512051161785</v>
      </c>
    </row>
    <row r="659">
      <c r="A659">
        <v>658</v>
      </c>
      <c r="B659">
        <f t="shared" si="9"/>
        <v>106.21420410619541</v>
      </c>
    </row>
    <row r="660">
      <c r="A660">
        <v>659</v>
      </c>
      <c r="B660">
        <f t="shared" si="9"/>
        <v>110.3945268248688</v>
      </c>
    </row>
    <row r="661">
      <c r="A661">
        <v>660</v>
      </c>
      <c r="B661">
        <f t="shared" si="9"/>
        <v>110.30203435660121</v>
      </c>
    </row>
    <row r="662">
      <c r="A662">
        <v>661</v>
      </c>
      <c r="B662">
        <f t="shared" si="9"/>
        <v>113.60344039422753</v>
      </c>
    </row>
    <row r="663">
      <c r="A663">
        <v>662</v>
      </c>
      <c r="B663">
        <f t="shared" si="9"/>
        <v>101.07071100660936</v>
      </c>
    </row>
    <row r="664">
      <c r="A664">
        <v>663</v>
      </c>
      <c r="B664">
        <f t="shared" si="9"/>
        <v>113.28851230631284</v>
      </c>
    </row>
    <row r="665">
      <c r="A665">
        <v>664</v>
      </c>
      <c r="B665">
        <f t="shared" si="9"/>
        <v>90.73512304163363</v>
      </c>
    </row>
    <row r="666">
      <c r="A666">
        <v>665</v>
      </c>
      <c r="B666">
        <f t="shared" si="9"/>
        <v>102.860293813915</v>
      </c>
    </row>
    <row r="667">
      <c r="A667">
        <v>666</v>
      </c>
      <c r="B667">
        <f t="shared" si="9"/>
        <v>110.37201194182776</v>
      </c>
    </row>
    <row r="668">
      <c r="A668">
        <v>667</v>
      </c>
      <c r="B668">
        <f t="shared" si="9"/>
        <v>109.77313725638274</v>
      </c>
    </row>
    <row r="669">
      <c r="A669">
        <v>668</v>
      </c>
      <c r="B669">
        <f t="shared" si="9"/>
        <v>117.69447950781971</v>
      </c>
    </row>
    <row r="670">
      <c r="A670">
        <v>669</v>
      </c>
      <c r="B670">
        <f t="shared" si="9"/>
        <v>103.51112439434519</v>
      </c>
    </row>
    <row r="671">
      <c r="A671">
        <v>670</v>
      </c>
      <c r="B671">
        <f t="shared" si="9"/>
        <v>109.65059408694182</v>
      </c>
    </row>
    <row r="672">
      <c r="A672">
        <v>671</v>
      </c>
      <c r="B672">
        <f t="shared" si="9"/>
        <v>115.68646588684754</v>
      </c>
    </row>
    <row r="673">
      <c r="A673">
        <v>672</v>
      </c>
      <c r="B673">
        <f t="shared" si="9"/>
        <v>71.88278452119346</v>
      </c>
    </row>
    <row r="674">
      <c r="A674">
        <v>673</v>
      </c>
      <c r="B674">
        <f t="shared" si="9"/>
        <v>107.07690292408638</v>
      </c>
    </row>
    <row r="675">
      <c r="A675">
        <v>674</v>
      </c>
      <c r="B675">
        <f t="shared" si="9"/>
        <v>82.32485725083609</v>
      </c>
    </row>
    <row r="676">
      <c r="A676">
        <v>675</v>
      </c>
      <c r="B676">
        <f t="shared" si="9"/>
        <v>107.61648277431098</v>
      </c>
    </row>
    <row r="677">
      <c r="A677">
        <v>676</v>
      </c>
      <c r="B677">
        <f t="shared" si="9"/>
        <v>128.91432417482048</v>
      </c>
    </row>
    <row r="678">
      <c r="A678">
        <v>677</v>
      </c>
      <c r="B678">
        <f t="shared" si="9"/>
        <v>111.67254486460571</v>
      </c>
    </row>
    <row r="679">
      <c r="A679">
        <v>678</v>
      </c>
      <c r="B679">
        <f t="shared" si="9"/>
        <v>115.52794984447956</v>
      </c>
    </row>
    <row r="680">
      <c r="A680">
        <v>679</v>
      </c>
      <c r="B680">
        <f t="shared" si="9"/>
        <v>101.93155235202555</v>
      </c>
    </row>
    <row r="681">
      <c r="A681">
        <v>680</v>
      </c>
      <c r="B681">
        <f t="shared" si="9"/>
        <v>89.47824813293154</v>
      </c>
    </row>
    <row r="682">
      <c r="A682">
        <v>681</v>
      </c>
      <c r="B682">
        <f t="shared" si="9"/>
        <v>85.8339718049681</v>
      </c>
    </row>
    <row r="683">
      <c r="A683">
        <v>682</v>
      </c>
      <c r="B683">
        <f t="shared" si="9"/>
        <v>113.34922777350565</v>
      </c>
    </row>
    <row r="684">
      <c r="A684">
        <v>683</v>
      </c>
      <c r="B684">
        <f t="shared" si="9"/>
        <v>104.27205877191996</v>
      </c>
    </row>
    <row r="685">
      <c r="A685">
        <v>684</v>
      </c>
      <c r="B685">
        <f t="shared" si="9"/>
        <v>101.59682118467313</v>
      </c>
    </row>
    <row r="686">
      <c r="A686">
        <v>685</v>
      </c>
      <c r="B686">
        <f t="shared" si="9"/>
        <v>95.0358381443844</v>
      </c>
    </row>
    <row r="687">
      <c r="A687">
        <v>686</v>
      </c>
      <c r="B687">
        <f t="shared" si="9"/>
        <v>94.49961698191584</v>
      </c>
    </row>
    <row r="688">
      <c r="A688">
        <v>687</v>
      </c>
      <c r="B688">
        <f t="shared" si="9"/>
        <v>97.25065031213099</v>
      </c>
    </row>
    <row r="689">
      <c r="A689">
        <v>688</v>
      </c>
      <c r="B689">
        <f t="shared" si="9"/>
        <v>105.49817784343021</v>
      </c>
    </row>
    <row r="690">
      <c r="A690">
        <v>689</v>
      </c>
      <c r="B690">
        <f t="shared" si="9"/>
        <v>97.32112482657013</v>
      </c>
    </row>
    <row r="691">
      <c r="A691">
        <v>690</v>
      </c>
      <c r="B691">
        <f t="shared" si="9"/>
        <v>97.4939781754009</v>
      </c>
    </row>
    <row r="692">
      <c r="A692">
        <v>691</v>
      </c>
      <c r="B692">
        <f t="shared" si="9"/>
        <v>93.57721564463687</v>
      </c>
    </row>
    <row r="693">
      <c r="A693">
        <v>692</v>
      </c>
      <c r="B693">
        <f t="shared" si="9"/>
        <v>86.81369707558396</v>
      </c>
    </row>
    <row r="694">
      <c r="A694">
        <v>693</v>
      </c>
      <c r="B694">
        <f t="shared" si="9"/>
        <v>83.19677190801741</v>
      </c>
    </row>
    <row r="695">
      <c r="A695">
        <v>694</v>
      </c>
      <c r="B695">
        <f t="shared" si="9"/>
        <v>105.02461811654044</v>
      </c>
    </row>
    <row r="696">
      <c r="A696">
        <v>695</v>
      </c>
      <c r="B696">
        <f t="shared" si="9"/>
        <v>77.81826961059109</v>
      </c>
    </row>
    <row r="697">
      <c r="A697">
        <v>696</v>
      </c>
      <c r="B697">
        <f t="shared" si="9"/>
        <v>120.70318008750164</v>
      </c>
    </row>
    <row r="698">
      <c r="A698">
        <v>697</v>
      </c>
      <c r="B698">
        <f t="shared" si="9"/>
        <v>110.83220700258387</v>
      </c>
    </row>
    <row r="699">
      <c r="A699">
        <v>698</v>
      </c>
      <c r="B699">
        <f t="shared" si="9"/>
        <v>110.386933998281</v>
      </c>
    </row>
    <row r="700">
      <c r="A700">
        <v>699</v>
      </c>
      <c r="B700">
        <f t="shared" si="9"/>
        <v>74.71663940683415</v>
      </c>
    </row>
    <row r="701">
      <c r="A701">
        <v>700</v>
      </c>
      <c r="B701">
        <f t="shared" si="9"/>
        <v>101.7794120688734</v>
      </c>
    </row>
    <row r="702">
      <c r="A702">
        <v>701</v>
      </c>
      <c r="B702">
        <f t="shared" si="9"/>
        <v>102.5942283946398</v>
      </c>
    </row>
    <row r="703">
      <c r="A703">
        <v>702</v>
      </c>
      <c r="B703">
        <f t="shared" si="9"/>
        <v>105.37934487140488</v>
      </c>
    </row>
    <row r="704">
      <c r="A704">
        <v>703</v>
      </c>
      <c r="B704">
        <f t="shared" si="9"/>
        <v>87.4188015944562</v>
      </c>
    </row>
    <row r="705">
      <c r="A705">
        <v>704</v>
      </c>
      <c r="B705">
        <f t="shared" si="9"/>
        <v>114.00002215475034</v>
      </c>
    </row>
    <row r="706">
      <c r="A706">
        <v>705</v>
      </c>
      <c r="B706">
        <f t="shared" si="9"/>
        <v>63.83272949288053</v>
      </c>
    </row>
    <row r="707">
      <c r="A707">
        <v>706</v>
      </c>
      <c r="B707">
        <f t="shared" si="9"/>
        <v>124.16835259307997</v>
      </c>
    </row>
    <row r="708">
      <c r="A708">
        <v>707</v>
      </c>
      <c r="B708">
        <f t="shared" si="9"/>
        <v>112.53439916460502</v>
      </c>
    </row>
    <row r="709">
      <c r="A709">
        <v>708</v>
      </c>
      <c r="B709">
        <f t="shared" si="9"/>
        <v>95.55597478719804</v>
      </c>
    </row>
    <row r="710">
      <c r="A710">
        <v>709</v>
      </c>
      <c r="B710">
        <f t="shared" si="9"/>
        <v>96.31526738871132</v>
      </c>
    </row>
    <row r="711">
      <c r="A711">
        <v>710</v>
      </c>
      <c r="B711">
        <f t="shared" si="9"/>
        <v>87.74298129949055</v>
      </c>
    </row>
    <row r="712">
      <c r="A712">
        <v>711</v>
      </c>
      <c r="B712">
        <f t="shared" si="9"/>
        <v>94.46146704442653</v>
      </c>
    </row>
    <row r="713">
      <c r="A713">
        <v>712</v>
      </c>
      <c r="B713">
        <f t="shared" si="9"/>
        <v>87.71546982252467</v>
      </c>
    </row>
    <row r="714">
      <c r="A714">
        <v>713</v>
      </c>
      <c r="B714">
        <f t="shared" si="9"/>
        <v>108.64620388116107</v>
      </c>
    </row>
    <row r="715">
      <c r="A715">
        <v>714</v>
      </c>
      <c r="B715">
        <f t="shared" si="9"/>
        <v>81.4238149497783</v>
      </c>
    </row>
    <row r="716">
      <c r="A716">
        <v>715</v>
      </c>
      <c r="B716">
        <f t="shared" si="9"/>
        <v>105.37164115176853</v>
      </c>
    </row>
    <row r="717">
      <c r="A717">
        <v>716</v>
      </c>
      <c r="B717">
        <f t="shared" si="9"/>
        <v>97.75018259802941</v>
      </c>
    </row>
    <row r="718">
      <c r="A718">
        <v>717</v>
      </c>
      <c r="B718">
        <f t="shared" si="9"/>
        <v>97.15375921980977</v>
      </c>
    </row>
    <row r="719">
      <c r="A719">
        <v>718</v>
      </c>
      <c r="B719">
        <f t="shared" si="9"/>
        <v>78.99392323779567</v>
      </c>
    </row>
    <row r="720">
      <c r="A720">
        <v>719</v>
      </c>
      <c r="B720">
        <f t="shared" si="9"/>
        <v>109.09839018236265</v>
      </c>
    </row>
    <row r="721">
      <c r="A721">
        <v>720</v>
      </c>
      <c r="B721">
        <f t="shared" si="9"/>
        <v>122.90655212701752</v>
      </c>
    </row>
    <row r="722">
      <c r="A722">
        <v>721</v>
      </c>
      <c r="B722">
        <f t="shared" si="9"/>
        <v>124.8789375555316</v>
      </c>
    </row>
    <row r="723">
      <c r="A723">
        <v>722</v>
      </c>
      <c r="B723">
        <f t="shared" si="9"/>
        <v>92.91182964456709</v>
      </c>
    </row>
    <row r="724">
      <c r="A724">
        <v>723</v>
      </c>
      <c r="B724">
        <f t="shared" si="9"/>
        <v>108.29978296575595</v>
      </c>
    </row>
    <row r="725">
      <c r="A725">
        <v>724</v>
      </c>
      <c r="B725">
        <f t="shared" si="9"/>
        <v>92.33667883089181</v>
      </c>
    </row>
    <row r="726">
      <c r="A726">
        <v>725</v>
      </c>
      <c r="B726">
        <f t="shared" si="9"/>
        <v>83.49048554952005</v>
      </c>
    </row>
    <row r="727">
      <c r="A727">
        <v>726</v>
      </c>
      <c r="B727">
        <f t="shared" si="9"/>
        <v>117.51903218994383</v>
      </c>
    </row>
    <row r="728">
      <c r="A728">
        <v>727</v>
      </c>
      <c r="B728">
        <f t="shared" si="9"/>
        <v>98.11637379896972</v>
      </c>
    </row>
    <row r="729">
      <c r="A729">
        <v>728</v>
      </c>
      <c r="B729">
        <f t="shared" si="9"/>
        <v>105.47626344751437</v>
      </c>
    </row>
    <row r="730">
      <c r="A730">
        <v>729</v>
      </c>
      <c r="B730">
        <f t="shared" si="9"/>
        <v>128.88465750490508</v>
      </c>
    </row>
    <row r="731">
      <c r="A731">
        <v>730</v>
      </c>
      <c r="B731">
        <f t="shared" si="9"/>
        <v>105.09083089365575</v>
      </c>
    </row>
    <row r="732">
      <c r="A732">
        <v>731</v>
      </c>
      <c r="B732">
        <f t="shared" si="9"/>
        <v>106.52315144305234</v>
      </c>
    </row>
    <row r="733">
      <c r="A733">
        <v>732</v>
      </c>
      <c r="B733">
        <f t="shared" si="9"/>
        <v>106.02177472530244</v>
      </c>
    </row>
    <row r="734">
      <c r="A734">
        <v>733</v>
      </c>
      <c r="B734">
        <f t="shared" si="9"/>
        <v>87.58587234925008</v>
      </c>
    </row>
    <row r="735">
      <c r="A735">
        <v>734</v>
      </c>
      <c r="B735">
        <f t="shared" si="9"/>
        <v>98.41842016050676</v>
      </c>
    </row>
    <row r="736">
      <c r="A736">
        <v>735</v>
      </c>
      <c r="B736">
        <f t="shared" si="9"/>
        <v>109.01094101055183</v>
      </c>
    </row>
    <row r="737">
      <c r="A737">
        <v>736</v>
      </c>
      <c r="B737">
        <f t="shared" si="9"/>
        <v>98.6927142849125</v>
      </c>
    </row>
    <row r="738">
      <c r="A738">
        <v>737</v>
      </c>
      <c r="B738">
        <f t="shared" si="9"/>
        <v>89.83768544441827</v>
      </c>
    </row>
    <row r="739">
      <c r="A739">
        <v>738</v>
      </c>
      <c r="B739">
        <f t="shared" si="9"/>
        <v>89.8039006454513</v>
      </c>
    </row>
    <row r="740">
      <c r="A740">
        <v>739</v>
      </c>
      <c r="B740">
        <f t="shared" si="9"/>
        <v>89.61243574117069</v>
      </c>
    </row>
    <row r="741">
      <c r="A741">
        <v>740</v>
      </c>
      <c r="B741">
        <f t="shared" si="9"/>
        <v>108.75653839532345</v>
      </c>
    </row>
    <row r="742">
      <c r="A742">
        <v>741</v>
      </c>
      <c r="B742">
        <f t="shared" si="9"/>
        <v>87.07872426088272</v>
      </c>
    </row>
    <row r="743">
      <c r="A743">
        <v>742</v>
      </c>
      <c r="B743">
        <f t="shared" si="9"/>
        <v>103.9495340167311</v>
      </c>
    </row>
    <row r="744">
      <c r="A744">
        <v>743</v>
      </c>
      <c r="B744">
        <f t="shared" si="9"/>
        <v>88.50189929378632</v>
      </c>
    </row>
    <row r="745">
      <c r="A745">
        <v>744</v>
      </c>
      <c r="B745">
        <f t="shared" si="9"/>
        <v>60.814598584034556</v>
      </c>
    </row>
    <row r="746">
      <c r="A746">
        <v>745</v>
      </c>
      <c r="B746">
        <f t="shared" si="9"/>
        <v>114.94346755165928</v>
      </c>
    </row>
    <row r="747">
      <c r="A747">
        <v>746</v>
      </c>
      <c r="B747">
        <f t="shared" si="9"/>
        <v>82.53739944412736</v>
      </c>
    </row>
    <row r="748">
      <c r="A748">
        <v>747</v>
      </c>
      <c r="B748">
        <f t="shared" si="9"/>
        <v>94.88468666403311</v>
      </c>
    </row>
    <row r="749">
      <c r="A749">
        <v>748</v>
      </c>
      <c r="B749">
        <f t="shared" si="9"/>
        <v>72.04540562532907</v>
      </c>
    </row>
    <row r="750">
      <c r="A750">
        <v>749</v>
      </c>
      <c r="B750">
        <f t="shared" si="9"/>
        <v>115.24414415267064</v>
      </c>
    </row>
    <row r="751">
      <c r="A751">
        <v>750</v>
      </c>
      <c r="B751">
        <f t="shared" si="9"/>
        <v>119.24075595612139</v>
      </c>
    </row>
    <row r="752">
      <c r="A752">
        <v>751</v>
      </c>
      <c r="B752">
        <f t="shared" si="9"/>
        <v>75.95481847515262</v>
      </c>
    </row>
    <row r="753">
      <c r="A753">
        <v>752</v>
      </c>
      <c r="B753">
        <f t="shared" si="9"/>
        <v>85.86548088400767</v>
      </c>
    </row>
    <row r="754">
      <c r="A754">
        <v>753</v>
      </c>
      <c r="B754">
        <f t="shared" si="9"/>
        <v>91.91086758222653</v>
      </c>
    </row>
    <row r="755">
      <c r="A755">
        <v>754</v>
      </c>
      <c r="B755">
        <f t="shared" si="9"/>
        <v>89.88521858074382</v>
      </c>
    </row>
    <row r="756">
      <c r="A756">
        <v>755</v>
      </c>
      <c r="B756">
        <f t="shared" si="9"/>
        <v>76.53049275568179</v>
      </c>
    </row>
    <row r="757">
      <c r="A757">
        <v>756</v>
      </c>
      <c r="B757">
        <f t="shared" si="9"/>
        <v>111.0217959541545</v>
      </c>
    </row>
    <row r="758">
      <c r="A758">
        <v>757</v>
      </c>
      <c r="B758">
        <f t="shared" si="9"/>
        <v>107.04785888221222</v>
      </c>
    </row>
    <row r="759">
      <c r="A759">
        <v>758</v>
      </c>
      <c r="B759">
        <f t="shared" si="9"/>
        <v>101.11487563645805</v>
      </c>
    </row>
    <row r="760">
      <c r="A760">
        <v>759</v>
      </c>
      <c r="B760">
        <f t="shared" si="9"/>
        <v>101.43950495481518</v>
      </c>
    </row>
    <row r="761">
      <c r="A761">
        <v>760</v>
      </c>
      <c r="B761">
        <f t="shared" si="9"/>
        <v>96.02869700594552</v>
      </c>
    </row>
    <row r="762">
      <c r="A762">
        <v>761</v>
      </c>
      <c r="B762">
        <f t="shared" si="9"/>
        <v>92.83430496541214</v>
      </c>
    </row>
    <row r="763">
      <c r="A763">
        <v>762</v>
      </c>
      <c r="B763">
        <f t="shared" si="9"/>
        <v>100.25794942324217</v>
      </c>
    </row>
    <row r="764">
      <c r="A764">
        <v>763</v>
      </c>
      <c r="B764">
        <f t="shared" si="9"/>
        <v>107.37961340517167</v>
      </c>
    </row>
    <row r="765">
      <c r="A765">
        <v>764</v>
      </c>
      <c r="B765">
        <f t="shared" si="9"/>
        <v>102.02008599368664</v>
      </c>
    </row>
    <row r="766">
      <c r="A766">
        <v>765</v>
      </c>
      <c r="B766">
        <f t="shared" si="9"/>
        <v>115.35163672840213</v>
      </c>
    </row>
    <row r="767">
      <c r="A767">
        <v>766</v>
      </c>
      <c r="B767">
        <f t="shared" si="9"/>
        <v>76.27327466305668</v>
      </c>
    </row>
    <row r="768">
      <c r="A768">
        <v>767</v>
      </c>
      <c r="B768">
        <f t="shared" si="9"/>
        <v>108.65745464102179</v>
      </c>
    </row>
    <row r="769">
      <c r="A769">
        <v>768</v>
      </c>
      <c r="B769">
        <f t="shared" si="9"/>
        <v>93.37798325600748</v>
      </c>
    </row>
    <row r="770">
      <c r="A770">
        <v>769</v>
      </c>
      <c r="B770">
        <f t="shared" si="9"/>
        <v>120.01177065001961</v>
      </c>
    </row>
    <row r="771">
      <c r="A771">
        <v>770</v>
      </c>
      <c r="B771">
        <f t="shared" si="9"/>
        <v>104.51093103732455</v>
      </c>
    </row>
    <row r="772">
      <c r="A772">
        <v>771</v>
      </c>
      <c r="B772">
        <f t="shared" si="9"/>
        <v>97.1156370053282</v>
      </c>
    </row>
    <row r="773">
      <c r="A773">
        <v>772</v>
      </c>
      <c r="B773">
        <f t="shared" si="9"/>
        <v>107.27474333495084</v>
      </c>
    </row>
    <row r="774">
      <c r="A774">
        <v>773</v>
      </c>
      <c r="B774">
        <f t="shared" si="9"/>
        <v>88.53502139489943</v>
      </c>
    </row>
    <row r="775">
      <c r="A775">
        <v>774</v>
      </c>
      <c r="B775">
        <f t="shared" si="9"/>
        <v>110.79442720029128</v>
      </c>
    </row>
    <row r="776">
      <c r="A776">
        <v>775</v>
      </c>
      <c r="B776">
        <f t="shared" si="9"/>
        <v>99.83511503303198</v>
      </c>
    </row>
    <row r="777">
      <c r="A777">
        <v>776</v>
      </c>
      <c r="B777">
        <f t="shared" si="9"/>
        <v>92.74654538276992</v>
      </c>
    </row>
    <row r="778">
      <c r="A778">
        <v>777</v>
      </c>
      <c r="B778">
        <f t="shared" si="9"/>
        <v>95.58267342820272</v>
      </c>
    </row>
    <row r="779">
      <c r="A779">
        <v>778</v>
      </c>
      <c r="B779">
        <f t="shared" si="9"/>
        <v>123.28391519308353</v>
      </c>
    </row>
    <row r="780">
      <c r="A780">
        <v>779</v>
      </c>
      <c r="B780">
        <f t="shared" si="9"/>
        <v>99.48534625934643</v>
      </c>
    </row>
    <row r="781">
      <c r="A781">
        <v>780</v>
      </c>
      <c r="B781">
        <f t="shared" si="9"/>
        <v>92.54118007488502</v>
      </c>
    </row>
    <row r="782">
      <c r="A782">
        <v>781</v>
      </c>
      <c r="B782">
        <f t="shared" si="9"/>
        <v>85.71633054979284</v>
      </c>
    </row>
    <row r="783">
      <c r="A783">
        <v>782</v>
      </c>
      <c r="B783">
        <f t="shared" si="9"/>
        <v>106.30457065105108</v>
      </c>
    </row>
    <row r="784">
      <c r="A784">
        <v>783</v>
      </c>
      <c r="B784">
        <f t="shared" si="9"/>
        <v>100.17220150639665</v>
      </c>
    </row>
    <row r="785">
      <c r="A785">
        <v>784</v>
      </c>
      <c r="B785">
        <f t="shared" si="9"/>
        <v>83.79317991501784</v>
      </c>
    </row>
    <row r="786">
      <c r="A786">
        <v>785</v>
      </c>
      <c r="B786">
        <f t="shared" si="9"/>
        <v>112.61631815522509</v>
      </c>
    </row>
    <row r="787">
      <c r="A787">
        <v>786</v>
      </c>
      <c r="B787">
        <f t="shared" si="9"/>
        <v>85.7346071206634</v>
      </c>
    </row>
    <row r="788">
      <c r="A788">
        <v>787</v>
      </c>
      <c r="B788">
        <f t="shared" si="9"/>
        <v>97.5713701548953</v>
      </c>
    </row>
    <row r="789">
      <c r="A789">
        <v>788</v>
      </c>
      <c r="B789">
        <f t="shared" si="9"/>
        <v>64.96876475023187</v>
      </c>
    </row>
    <row r="790">
      <c r="A790">
        <v>789</v>
      </c>
      <c r="B790">
        <f t="shared" si="9"/>
        <v>113.8827916740253</v>
      </c>
    </row>
    <row r="791">
      <c r="A791">
        <v>790</v>
      </c>
      <c r="B791">
        <f t="shared" si="9"/>
        <v>116.37808705371349</v>
      </c>
    </row>
    <row r="792">
      <c r="A792">
        <v>791</v>
      </c>
      <c r="B792">
        <f t="shared" si="9"/>
        <v>86.3020926576229</v>
      </c>
    </row>
    <row r="793">
      <c r="A793">
        <v>792</v>
      </c>
      <c r="B793">
        <f t="shared" si="9"/>
        <v>105.12958482028058</v>
      </c>
    </row>
    <row r="794">
      <c r="A794">
        <v>793</v>
      </c>
      <c r="B794">
        <f t="shared" si="9"/>
        <v>100.69757684798445</v>
      </c>
    </row>
    <row r="795">
      <c r="A795">
        <v>794</v>
      </c>
      <c r="B795">
        <f t="shared" si="9"/>
        <v>79.75293286135114</v>
      </c>
    </row>
    <row r="796">
      <c r="A796">
        <v>795</v>
      </c>
      <c r="B796">
        <f t="shared" si="9"/>
        <v>99.92130293276453</v>
      </c>
    </row>
    <row r="797">
      <c r="A797">
        <v>796</v>
      </c>
      <c r="B797">
        <f t="shared" si="9"/>
        <v>98.84116099183989</v>
      </c>
    </row>
    <row r="798">
      <c r="A798">
        <v>797</v>
      </c>
      <c r="B798">
        <f t="shared" si="9"/>
        <v>112.4665186798128</v>
      </c>
    </row>
    <row r="799">
      <c r="A799">
        <v>798</v>
      </c>
      <c r="B799">
        <f t="shared" si="9"/>
        <v>96.89956127856811</v>
      </c>
    </row>
    <row r="800">
      <c r="A800">
        <v>799</v>
      </c>
      <c r="B800">
        <f t="shared" si="9"/>
        <v>78.87432350447648</v>
      </c>
    </row>
    <row r="801">
      <c r="A801">
        <v>800</v>
      </c>
      <c r="B801">
        <f t="shared" si="9"/>
        <v>86.2967083559114</v>
      </c>
    </row>
    <row r="802">
      <c r="A802">
        <v>801</v>
      </c>
      <c r="B802">
        <f t="shared" si="9"/>
        <v>111.77089510313544</v>
      </c>
    </row>
    <row r="803">
      <c r="A803">
        <v>802</v>
      </c>
      <c r="B803">
        <f t="shared" si="9"/>
        <v>61.68596402959005</v>
      </c>
    </row>
    <row r="804">
      <c r="A804">
        <v>803</v>
      </c>
      <c r="B804">
        <f t="shared" si="9"/>
        <v>107.37549390564976</v>
      </c>
    </row>
    <row r="805">
      <c r="A805">
        <v>804</v>
      </c>
      <c r="B805">
        <f t="shared" si="9"/>
        <v>88.7271735416949</v>
      </c>
    </row>
    <row r="806">
      <c r="A806">
        <v>805</v>
      </c>
      <c r="B806">
        <f t="shared" si="9"/>
        <v>124.16206331306002</v>
      </c>
    </row>
    <row r="807">
      <c r="A807">
        <v>806</v>
      </c>
      <c r="B807">
        <f t="shared" si="9"/>
        <v>100.20272967229316</v>
      </c>
    </row>
    <row r="808">
      <c r="A808">
        <v>807</v>
      </c>
      <c r="B808">
        <f t="shared" si="9"/>
        <v>98.33468448086313</v>
      </c>
    </row>
    <row r="809">
      <c r="A809">
        <v>808</v>
      </c>
      <c r="B809">
        <f t="shared" si="9"/>
        <v>83.18996862937577</v>
      </c>
    </row>
    <row r="810">
      <c r="A810">
        <v>809</v>
      </c>
      <c r="B810">
        <f t="shared" si="9"/>
        <v>104.15944305185533</v>
      </c>
    </row>
    <row r="811">
      <c r="A811">
        <v>810</v>
      </c>
      <c r="B811">
        <f t="shared" si="9"/>
        <v>103.96273954801516</v>
      </c>
    </row>
    <row r="812">
      <c r="A812">
        <v>811</v>
      </c>
      <c r="B812">
        <f t="shared" si="9"/>
        <v>79.24614441306703</v>
      </c>
    </row>
    <row r="813">
      <c r="A813">
        <v>812</v>
      </c>
      <c r="B813">
        <f t="shared" si="9"/>
        <v>112.71463519976345</v>
      </c>
    </row>
    <row r="814">
      <c r="A814">
        <v>813</v>
      </c>
      <c r="B814">
        <f t="shared" si="9"/>
        <v>76.3045920606756</v>
      </c>
    </row>
    <row r="815">
      <c r="A815">
        <v>814</v>
      </c>
      <c r="B815">
        <f t="shared" si="9"/>
        <v>85.06645076827964</v>
      </c>
    </row>
    <row r="816">
      <c r="A816">
        <v>815</v>
      </c>
      <c r="B816">
        <f t="shared" si="9"/>
        <v>103.81686174139077</v>
      </c>
    </row>
    <row r="817">
      <c r="A817">
        <v>816</v>
      </c>
      <c r="B817">
        <f t="shared" si="9"/>
        <v>117.81251974573057</v>
      </c>
    </row>
    <row r="818">
      <c r="A818">
        <v>817</v>
      </c>
      <c r="B818">
        <f t="shared" si="9"/>
        <v>100.97501567007691</v>
      </c>
    </row>
    <row r="819">
      <c r="A819">
        <v>818</v>
      </c>
      <c r="B819">
        <f t="shared" si="9"/>
        <v>114.7817940854811</v>
      </c>
    </row>
    <row r="820">
      <c r="A820">
        <v>819</v>
      </c>
      <c r="B820">
        <f t="shared" si="9"/>
        <v>102.18010838102977</v>
      </c>
    </row>
    <row r="821">
      <c r="A821">
        <v>820</v>
      </c>
      <c r="B821">
        <f t="shared" si="9"/>
        <v>102.99634927760656</v>
      </c>
    </row>
    <row r="822">
      <c r="A822">
        <v>821</v>
      </c>
      <c r="B822">
        <f t="shared" si="9"/>
        <v>86.76614585464242</v>
      </c>
    </row>
    <row r="823">
      <c r="A823">
        <v>822</v>
      </c>
      <c r="B823">
        <f t="shared" si="9"/>
        <v>88.58785340235974</v>
      </c>
    </row>
    <row r="824">
      <c r="A824">
        <v>823</v>
      </c>
      <c r="B824">
        <f t="shared" si="9"/>
        <v>101.15225153563291</v>
      </c>
    </row>
    <row r="825">
      <c r="A825">
        <v>824</v>
      </c>
      <c r="B825">
        <f t="shared" si="9"/>
        <v>116.44477175708126</v>
      </c>
    </row>
    <row r="826">
      <c r="A826">
        <v>825</v>
      </c>
      <c r="B826">
        <f t="shared" si="9"/>
        <v>78.33649587504742</v>
      </c>
    </row>
    <row r="827">
      <c r="A827">
        <v>826</v>
      </c>
      <c r="B827">
        <f t="shared" si="9"/>
        <v>111.0168787432679</v>
      </c>
    </row>
    <row r="828">
      <c r="A828">
        <v>827</v>
      </c>
      <c r="B828">
        <f t="shared" si="9"/>
        <v>115.39024799223596</v>
      </c>
    </row>
    <row r="829">
      <c r="A829">
        <v>828</v>
      </c>
      <c r="B829">
        <f t="shared" si="9"/>
        <v>110.9680394574103</v>
      </c>
    </row>
    <row r="830">
      <c r="A830">
        <v>829</v>
      </c>
      <c r="B830">
        <f t="shared" si="9"/>
        <v>73.50172869593304</v>
      </c>
    </row>
    <row r="831">
      <c r="A831">
        <v>830</v>
      </c>
      <c r="B831">
        <f t="shared" si="9"/>
        <v>91.9124386875386</v>
      </c>
    </row>
    <row r="832">
      <c r="A832">
        <v>831</v>
      </c>
      <c r="B832">
        <f t="shared" si="9"/>
        <v>88.64703964969863</v>
      </c>
    </row>
    <row r="833">
      <c r="A833">
        <v>832</v>
      </c>
      <c r="B833">
        <f t="shared" si="9"/>
        <v>128.92734254573438</v>
      </c>
    </row>
    <row r="834">
      <c r="A834">
        <v>833</v>
      </c>
      <c r="B834">
        <f t="shared" si="9"/>
        <v>108.33354768047889</v>
      </c>
    </row>
    <row r="835">
      <c r="A835">
        <v>834</v>
      </c>
      <c r="B835">
        <f t="shared" si="9"/>
        <v>84.96037125557152</v>
      </c>
    </row>
    <row r="836">
      <c r="A836">
        <v>835</v>
      </c>
      <c r="B836">
        <f t="shared" si="9"/>
        <v>86.06546927580531</v>
      </c>
    </row>
    <row r="837">
      <c r="A837">
        <v>836</v>
      </c>
      <c r="B837">
        <f t="shared" si="9"/>
        <v>104.00235720714974</v>
      </c>
    </row>
    <row r="838">
      <c r="A838">
        <v>837</v>
      </c>
      <c r="B838">
        <f t="shared" si="9"/>
        <v>99.57935690492847</v>
      </c>
    </row>
    <row r="839">
      <c r="A839">
        <v>838</v>
      </c>
      <c r="B839">
        <f t="shared" si="9"/>
        <v>107.8361149228547</v>
      </c>
    </row>
    <row r="840">
      <c r="A840">
        <v>839</v>
      </c>
      <c r="B840">
        <f t="shared" si="9"/>
        <v>90.42177631997683</v>
      </c>
    </row>
    <row r="841">
      <c r="A841">
        <v>840</v>
      </c>
      <c r="B841">
        <f t="shared" si="9"/>
        <v>110.18311138633165</v>
      </c>
    </row>
    <row r="842">
      <c r="A842">
        <v>841</v>
      </c>
      <c r="B842">
        <f t="shared" si="9"/>
        <v>113.11416371851332</v>
      </c>
    </row>
    <row r="843">
      <c r="A843">
        <v>842</v>
      </c>
      <c r="B843">
        <f t="shared" si="9"/>
        <v>101.88654608712538</v>
      </c>
    </row>
    <row r="844">
      <c r="A844">
        <v>843</v>
      </c>
      <c r="B844">
        <f t="shared" si="9"/>
        <v>77.58713360098771</v>
      </c>
    </row>
    <row r="845">
      <c r="A845">
        <v>844</v>
      </c>
      <c r="B845">
        <f t="shared" si="9"/>
        <v>110.57389587643436</v>
      </c>
    </row>
    <row r="846">
      <c r="A846">
        <v>845</v>
      </c>
      <c r="B846">
        <f t="shared" si="9"/>
        <v>101.49704740428207</v>
      </c>
    </row>
    <row r="847">
      <c r="A847">
        <v>846</v>
      </c>
      <c r="B847">
        <f t="shared" si="9"/>
        <v>109.47508955879137</v>
      </c>
    </row>
    <row r="848">
      <c r="A848">
        <v>847</v>
      </c>
      <c r="B848">
        <f t="shared" si="9"/>
        <v>91.904621341169</v>
      </c>
    </row>
    <row r="849">
      <c r="A849">
        <v>848</v>
      </c>
      <c r="B849">
        <f t="shared" si="9"/>
        <v>118.66724839056312</v>
      </c>
    </row>
    <row r="850">
      <c r="A850">
        <v>849</v>
      </c>
      <c r="B850">
        <f t="shared" si="9"/>
        <v>110.52125762941743</v>
      </c>
    </row>
    <row r="851">
      <c r="A851">
        <v>850</v>
      </c>
      <c r="B851">
        <f t="shared" si="9"/>
        <v>107.43566862482965</v>
      </c>
    </row>
    <row r="852">
      <c r="A852">
        <v>851</v>
      </c>
      <c r="B852">
        <f t="shared" si="9"/>
        <v>117.28457770329292</v>
      </c>
    </row>
    <row r="853">
      <c r="A853">
        <v>852</v>
      </c>
      <c r="B853">
        <f t="shared" si="9"/>
        <v>83.54694321390372</v>
      </c>
    </row>
    <row r="854">
      <c r="A854">
        <v>853</v>
      </c>
      <c r="B854">
        <f t="shared" si="9"/>
        <v>122.99762474819308</v>
      </c>
    </row>
    <row r="855">
      <c r="A855">
        <v>854</v>
      </c>
      <c r="B855">
        <f t="shared" si="9"/>
        <v>138.78118423784375</v>
      </c>
    </row>
    <row r="856">
      <c r="A856">
        <v>855</v>
      </c>
      <c r="B856">
        <f t="shared" si="9"/>
        <v>98.85503489621163</v>
      </c>
    </row>
    <row r="857">
      <c r="A857">
        <v>856</v>
      </c>
      <c r="B857">
        <f t="shared" si="9"/>
        <v>81.27057617509668</v>
      </c>
    </row>
    <row r="858">
      <c r="A858">
        <v>857</v>
      </c>
      <c r="B858">
        <f t="shared" si="9"/>
        <v>109.9935992508676</v>
      </c>
    </row>
    <row r="859">
      <c r="A859">
        <v>858</v>
      </c>
      <c r="B859">
        <f t="shared" si="9"/>
        <v>93.30951774118294</v>
      </c>
    </row>
    <row r="860">
      <c r="A860">
        <v>859</v>
      </c>
      <c r="B860">
        <f t="shared" si="9"/>
        <v>97.62145795886319</v>
      </c>
    </row>
    <row r="861">
      <c r="A861">
        <v>860</v>
      </c>
      <c r="B861">
        <f t="shared" si="9"/>
        <v>120.36976534450187</v>
      </c>
    </row>
    <row r="862">
      <c r="A862">
        <v>861</v>
      </c>
      <c r="B862">
        <f t="shared" si="9"/>
        <v>114.52671935102408</v>
      </c>
    </row>
    <row r="863">
      <c r="A863">
        <v>862</v>
      </c>
      <c r="B863">
        <f t="shared" si="9"/>
        <v>79.82913495339032</v>
      </c>
    </row>
    <row r="864">
      <c r="A864">
        <v>863</v>
      </c>
      <c r="B864">
        <f t="shared" si="9"/>
        <v>112.3626437458477</v>
      </c>
    </row>
    <row r="865">
      <c r="A865">
        <v>864</v>
      </c>
      <c r="B865">
        <f t="shared" si="9"/>
        <v>73.2324610701462</v>
      </c>
    </row>
    <row r="866">
      <c r="A866">
        <v>865</v>
      </c>
      <c r="B866">
        <f t="shared" si="9"/>
        <v>84.43164535359335</v>
      </c>
    </row>
    <row r="867">
      <c r="A867">
        <v>866</v>
      </c>
      <c r="B867">
        <f t="shared" si="9"/>
        <v>97.585079258607</v>
      </c>
    </row>
    <row r="868">
      <c r="A868">
        <v>867</v>
      </c>
      <c r="B868">
        <f t="shared" si="9"/>
        <v>95.81812608261791</v>
      </c>
    </row>
    <row r="869">
      <c r="A869">
        <v>868</v>
      </c>
      <c r="B869">
        <f t="shared" si="9"/>
        <v>104.54249611283696</v>
      </c>
    </row>
    <row r="870">
      <c r="A870">
        <v>869</v>
      </c>
      <c r="B870">
        <f t="shared" si="9"/>
        <v>116.51564940587916</v>
      </c>
    </row>
    <row r="871">
      <c r="A871">
        <v>870</v>
      </c>
      <c r="B871">
        <f t="shared" si="9"/>
        <v>116.30123725116438</v>
      </c>
    </row>
    <row r="872">
      <c r="A872">
        <v>871</v>
      </c>
      <c r="B872">
        <f t="shared" si="9"/>
        <v>114.66773559796525</v>
      </c>
    </row>
    <row r="873">
      <c r="A873">
        <v>872</v>
      </c>
      <c r="B873">
        <f t="shared" si="9"/>
        <v>101.38717932730403</v>
      </c>
    </row>
    <row r="874">
      <c r="A874">
        <v>873</v>
      </c>
      <c r="B874">
        <f t="shared" si="9"/>
        <v>94.9479299785025</v>
      </c>
    </row>
    <row r="875">
      <c r="A875">
        <v>874</v>
      </c>
      <c r="B875">
        <f t="shared" si="9"/>
        <v>90.63520384286613</v>
      </c>
    </row>
    <row r="876">
      <c r="A876">
        <v>875</v>
      </c>
      <c r="B876">
        <f t="shared" si="9"/>
        <v>105.79612537257158</v>
      </c>
    </row>
    <row r="877">
      <c r="A877">
        <v>876</v>
      </c>
      <c r="B877">
        <f t="shared" si="9"/>
        <v>145.11038325318665</v>
      </c>
    </row>
    <row r="878">
      <c r="A878">
        <v>877</v>
      </c>
      <c r="B878">
        <f t="shared" si="9"/>
        <v>98.89625211978924</v>
      </c>
    </row>
    <row r="879">
      <c r="A879">
        <v>878</v>
      </c>
      <c r="B879">
        <f t="shared" si="9"/>
        <v>91.95489069608114</v>
      </c>
    </row>
    <row r="880">
      <c r="A880">
        <v>879</v>
      </c>
      <c r="B880">
        <f t="shared" si="9"/>
        <v>114.45120630945031</v>
      </c>
    </row>
    <row r="881">
      <c r="A881">
        <v>880</v>
      </c>
      <c r="B881">
        <f t="shared" si="9"/>
        <v>104.53001739133585</v>
      </c>
    </row>
    <row r="882">
      <c r="A882">
        <v>881</v>
      </c>
      <c r="B882">
        <f t="shared" si="9"/>
        <v>98.04617344975219</v>
      </c>
    </row>
    <row r="883">
      <c r="A883">
        <v>882</v>
      </c>
      <c r="B883">
        <f t="shared" si="9"/>
        <v>89.06634560604473</v>
      </c>
    </row>
    <row r="884">
      <c r="A884">
        <v>883</v>
      </c>
      <c r="B884">
        <f t="shared" si="9"/>
        <v>124.55786530903374</v>
      </c>
    </row>
    <row r="885">
      <c r="A885">
        <v>884</v>
      </c>
      <c r="B885">
        <f t="shared" si="9"/>
        <v>106.2690347551927</v>
      </c>
    </row>
    <row r="886">
      <c r="A886">
        <v>885</v>
      </c>
      <c r="B886">
        <f t="shared" si="9"/>
        <v>114.83620682100869</v>
      </c>
    </row>
    <row r="887">
      <c r="A887">
        <v>886</v>
      </c>
      <c r="B887">
        <f t="shared" si="9"/>
        <v>108.05247805514965</v>
      </c>
    </row>
    <row r="888">
      <c r="A888">
        <v>887</v>
      </c>
      <c r="B888">
        <f t="shared" si="9"/>
        <v>89.97629031798535</v>
      </c>
    </row>
    <row r="889">
      <c r="A889">
        <v>888</v>
      </c>
      <c r="B889">
        <f t="shared" si="9"/>
        <v>94.22966399736315</v>
      </c>
    </row>
    <row r="890">
      <c r="A890">
        <v>889</v>
      </c>
      <c r="B890">
        <f t="shared" si="9"/>
        <v>89.0044840061478</v>
      </c>
    </row>
    <row r="891">
      <c r="A891">
        <v>890</v>
      </c>
      <c r="B891">
        <f t="shared" si="9"/>
        <v>108.97105337071704</v>
      </c>
    </row>
    <row r="892">
      <c r="A892">
        <v>891</v>
      </c>
      <c r="B892">
        <f t="shared" si="9"/>
        <v>109.09668203076828</v>
      </c>
    </row>
    <row r="893">
      <c r="A893">
        <v>892</v>
      </c>
      <c r="B893">
        <f t="shared" si="9"/>
        <v>89.35863849320673</v>
      </c>
    </row>
    <row r="894">
      <c r="A894">
        <v>893</v>
      </c>
      <c r="B894">
        <f t="shared" si="9"/>
        <v>72.61106367037183</v>
      </c>
    </row>
    <row r="895">
      <c r="A895">
        <v>894</v>
      </c>
      <c r="B895">
        <f t="shared" si="9"/>
        <v>100.86098939792878</v>
      </c>
    </row>
    <row r="896">
      <c r="A896">
        <v>895</v>
      </c>
      <c r="B896">
        <f t="shared" si="9"/>
        <v>82.87711759355771</v>
      </c>
    </row>
    <row r="897">
      <c r="A897">
        <v>896</v>
      </c>
      <c r="B897">
        <f t="shared" si="9"/>
        <v>113.78803776193145</v>
      </c>
    </row>
    <row r="898">
      <c r="A898">
        <v>897</v>
      </c>
      <c r="B898">
        <f t="shared" si="9"/>
        <v>96.1289881418617</v>
      </c>
    </row>
    <row r="899">
      <c r="A899">
        <v>898</v>
      </c>
      <c r="B899">
        <f t="shared" si="9"/>
        <v>83.2581341199179</v>
      </c>
    </row>
    <row r="900">
      <c r="A900">
        <v>899</v>
      </c>
      <c r="B900">
        <f t="shared" si="9"/>
        <v>109.04247323034808</v>
      </c>
    </row>
    <row r="901">
      <c r="A901">
        <v>900</v>
      </c>
      <c r="B901">
        <f t="shared" si="9"/>
        <v>111.44042616225539</v>
      </c>
    </row>
    <row r="902">
      <c r="A902">
        <v>901</v>
      </c>
      <c r="B902">
        <f t="shared" si="9"/>
        <v>90.44292738441983</v>
      </c>
    </row>
    <row r="903">
      <c r="A903">
        <v>902</v>
      </c>
      <c r="B903">
        <f t="shared" si="9"/>
        <v>114.8618612265744</v>
      </c>
    </row>
    <row r="904">
      <c r="A904">
        <v>903</v>
      </c>
      <c r="B904">
        <f t="shared" si="9"/>
        <v>96.04656242849488</v>
      </c>
    </row>
    <row r="905">
      <c r="A905">
        <v>904</v>
      </c>
      <c r="B905">
        <f t="shared" si="9"/>
        <v>87.63185220676034</v>
      </c>
    </row>
    <row r="906">
      <c r="A906">
        <v>905</v>
      </c>
      <c r="B906">
        <f t="shared" si="9"/>
        <v>76.98858916443656</v>
      </c>
    </row>
    <row r="907">
      <c r="A907">
        <v>906</v>
      </c>
      <c r="B907">
        <f t="shared" si="9"/>
        <v>98.8369417064888</v>
      </c>
    </row>
    <row r="908">
      <c r="A908">
        <v>907</v>
      </c>
      <c r="B908">
        <f t="shared" si="9"/>
        <v>106.83857005219629</v>
      </c>
    </row>
    <row r="909">
      <c r="A909">
        <v>908</v>
      </c>
      <c r="B909">
        <f t="shared" si="9"/>
        <v>97.73814935568512</v>
      </c>
    </row>
    <row r="910">
      <c r="A910">
        <v>909</v>
      </c>
      <c r="B910">
        <f t="shared" si="9"/>
        <v>70.22687162264525</v>
      </c>
    </row>
    <row r="911">
      <c r="A911">
        <v>910</v>
      </c>
      <c r="B911">
        <f t="shared" si="9"/>
        <v>91.37347410248208</v>
      </c>
    </row>
    <row r="912">
      <c r="A912">
        <v>911</v>
      </c>
      <c r="B912">
        <f t="shared" si="9"/>
        <v>118.59050103239</v>
      </c>
    </row>
    <row r="913">
      <c r="A913">
        <v>912</v>
      </c>
      <c r="B913">
        <f t="shared" si="9"/>
        <v>114.01031447599631</v>
      </c>
    </row>
    <row r="914">
      <c r="A914">
        <v>913</v>
      </c>
      <c r="B914">
        <f t="shared" si="9"/>
        <v>111.53313560487025</v>
      </c>
    </row>
    <row r="915">
      <c r="A915">
        <v>914</v>
      </c>
      <c r="B915">
        <f t="shared" si="9"/>
        <v>100.21904072408087</v>
      </c>
    </row>
    <row r="916">
      <c r="A916">
        <v>915</v>
      </c>
      <c r="B916">
        <f t="shared" si="9"/>
        <v>106.71277830556701</v>
      </c>
    </row>
    <row r="917">
      <c r="A917">
        <v>916</v>
      </c>
      <c r="B917">
        <f t="shared" si="9"/>
        <v>104.69116817360161</v>
      </c>
    </row>
    <row r="918">
      <c r="A918">
        <v>917</v>
      </c>
      <c r="B918">
        <f t="shared" si="9"/>
        <v>117.4961291701874</v>
      </c>
    </row>
    <row r="919">
      <c r="A919">
        <v>918</v>
      </c>
      <c r="B919">
        <f t="shared" si="9"/>
        <v>84.30258510303105</v>
      </c>
    </row>
    <row r="920">
      <c r="A920">
        <v>919</v>
      </c>
      <c r="B920">
        <f t="shared" si="9"/>
        <v>131.54852835697787</v>
      </c>
    </row>
    <row r="921">
      <c r="A921">
        <v>920</v>
      </c>
      <c r="B921">
        <f t="shared" si="9"/>
        <v>108.95488556159493</v>
      </c>
    </row>
    <row r="922">
      <c r="A922">
        <v>921</v>
      </c>
      <c r="B922">
        <f t="shared" si="9"/>
        <v>73.39803323126529</v>
      </c>
    </row>
    <row r="923">
      <c r="A923">
        <v>922</v>
      </c>
      <c r="B923">
        <f t="shared" si="9"/>
        <v>109.32698705723922</v>
      </c>
    </row>
    <row r="924">
      <c r="A924">
        <v>923</v>
      </c>
      <c r="B924">
        <f t="shared" si="9"/>
        <v>91.50147447006489</v>
      </c>
    </row>
    <row r="925">
      <c r="A925">
        <v>924</v>
      </c>
      <c r="B925">
        <f t="shared" si="9"/>
        <v>125.55971462298392</v>
      </c>
    </row>
    <row r="926">
      <c r="A926">
        <v>925</v>
      </c>
      <c r="B926">
        <f t="shared" si="9"/>
        <v>112.8162854395133</v>
      </c>
    </row>
    <row r="927">
      <c r="A927">
        <v>926</v>
      </c>
      <c r="B927">
        <f t="shared" si="9"/>
        <v>74.40726721668803</v>
      </c>
    </row>
    <row r="928">
      <c r="A928">
        <v>927</v>
      </c>
      <c r="B928">
        <f t="shared" si="9"/>
        <v>93.44627526048319</v>
      </c>
    </row>
    <row r="929">
      <c r="A929">
        <v>928</v>
      </c>
      <c r="B929">
        <f t="shared" si="9"/>
        <v>104.11241361893084</v>
      </c>
    </row>
    <row r="930">
      <c r="A930">
        <v>929</v>
      </c>
      <c r="B930">
        <f t="shared" si="9"/>
        <v>80.2512368610417</v>
      </c>
    </row>
    <row r="931">
      <c r="A931">
        <v>930</v>
      </c>
      <c r="B931">
        <f t="shared" si="9"/>
        <v>77.24772317625889</v>
      </c>
    </row>
    <row r="932">
      <c r="A932">
        <v>931</v>
      </c>
      <c r="B932">
        <f t="shared" si="9"/>
        <v>86.33116692384255</v>
      </c>
    </row>
    <row r="933">
      <c r="A933">
        <v>932</v>
      </c>
      <c r="B933">
        <f t="shared" si="9"/>
        <v>107.40004224708348</v>
      </c>
    </row>
    <row r="934">
      <c r="A934">
        <v>933</v>
      </c>
      <c r="B934">
        <f t="shared" si="9"/>
        <v>99.20053311215213</v>
      </c>
    </row>
    <row r="935">
      <c r="A935">
        <v>934</v>
      </c>
      <c r="B935">
        <f t="shared" si="9"/>
        <v>90.04273229836173</v>
      </c>
    </row>
    <row r="936">
      <c r="A936">
        <v>935</v>
      </c>
      <c r="B936">
        <f t="shared" si="9"/>
        <v>101.27477209698625</v>
      </c>
    </row>
    <row r="937">
      <c r="A937">
        <v>936</v>
      </c>
      <c r="B937">
        <f t="shared" si="9"/>
        <v>89.70503891072242</v>
      </c>
    </row>
    <row r="938">
      <c r="A938">
        <v>937</v>
      </c>
      <c r="B938">
        <f t="shared" si="9"/>
        <v>87.24868159289457</v>
      </c>
    </row>
    <row r="939">
      <c r="A939">
        <v>938</v>
      </c>
      <c r="B939">
        <f t="shared" si="9"/>
        <v>105.72780020338496</v>
      </c>
    </row>
    <row r="940">
      <c r="A940">
        <v>939</v>
      </c>
      <c r="B940">
        <f t="shared" si="9"/>
        <v>109.70124506541453</v>
      </c>
    </row>
    <row r="941">
      <c r="A941">
        <v>940</v>
      </c>
      <c r="B941">
        <f t="shared" si="9"/>
        <v>102.24313755035551</v>
      </c>
    </row>
    <row r="942">
      <c r="A942">
        <v>941</v>
      </c>
      <c r="B942">
        <f t="shared" si="9"/>
        <v>98.35560808028549</v>
      </c>
    </row>
    <row r="943">
      <c r="A943">
        <v>942</v>
      </c>
      <c r="B943">
        <f t="shared" si="9"/>
        <v>120.87800061008824</v>
      </c>
    </row>
    <row r="944">
      <c r="A944">
        <v>943</v>
      </c>
      <c r="B944">
        <f t="shared" si="9"/>
        <v>85.90307115880368</v>
      </c>
    </row>
    <row r="945">
      <c r="A945">
        <v>944</v>
      </c>
      <c r="B945">
        <f t="shared" si="9"/>
        <v>88.93747019484192</v>
      </c>
    </row>
    <row r="946">
      <c r="A946">
        <v>945</v>
      </c>
      <c r="B946">
        <f t="shared" si="9"/>
        <v>94.33997652302408</v>
      </c>
    </row>
    <row r="947">
      <c r="A947">
        <v>946</v>
      </c>
      <c r="B947">
        <f t="shared" si="9"/>
        <v>128.49122655829856</v>
      </c>
    </row>
    <row r="948">
      <c r="A948">
        <v>947</v>
      </c>
      <c r="B948">
        <f t="shared" si="9"/>
        <v>70.01088711675595</v>
      </c>
    </row>
    <row r="949">
      <c r="A949">
        <v>948</v>
      </c>
      <c r="B949">
        <f t="shared" si="9"/>
        <v>81.48592012138403</v>
      </c>
    </row>
    <row r="950">
      <c r="A950">
        <v>949</v>
      </c>
      <c r="B950">
        <f t="shared" si="9"/>
        <v>116.32455952590203</v>
      </c>
    </row>
    <row r="951">
      <c r="A951">
        <v>950</v>
      </c>
      <c r="B951">
        <f t="shared" si="9"/>
        <v>89.661674843588</v>
      </c>
    </row>
    <row r="952">
      <c r="A952">
        <v>951</v>
      </c>
      <c r="B952">
        <f t="shared" si="9"/>
        <v>87.1488812660326</v>
      </c>
    </row>
    <row r="953">
      <c r="A953">
        <v>952</v>
      </c>
      <c r="B953">
        <f t="shared" si="9"/>
        <v>105.19066525065008</v>
      </c>
    </row>
    <row r="954">
      <c r="A954">
        <v>953</v>
      </c>
      <c r="B954">
        <f t="shared" si="9"/>
        <v>101.75129119324617</v>
      </c>
    </row>
    <row r="955">
      <c r="A955">
        <v>954</v>
      </c>
      <c r="B955">
        <f t="shared" si="9"/>
        <v>104.61399810134765</v>
      </c>
    </row>
    <row r="956">
      <c r="A956">
        <v>955</v>
      </c>
      <c r="B956">
        <f t="shared" si="9"/>
        <v>86.01345167091726</v>
      </c>
    </row>
    <row r="957">
      <c r="A957">
        <v>956</v>
      </c>
      <c r="B957">
        <f t="shared" si="9"/>
        <v>90.07097822789132</v>
      </c>
    </row>
    <row r="958">
      <c r="A958">
        <v>957</v>
      </c>
      <c r="B958">
        <f t="shared" si="9"/>
        <v>102.21857557923649</v>
      </c>
    </row>
    <row r="959">
      <c r="A959">
        <v>958</v>
      </c>
      <c r="B959">
        <f t="shared" si="9"/>
        <v>85.00900579133796</v>
      </c>
    </row>
    <row r="960">
      <c r="A960">
        <v>959</v>
      </c>
      <c r="B960">
        <f t="shared" si="9"/>
        <v>82.418669912295</v>
      </c>
    </row>
    <row r="961">
      <c r="A961">
        <v>960</v>
      </c>
      <c r="B961">
        <f t="shared" si="9"/>
        <v>91.38498336370748</v>
      </c>
    </row>
    <row r="962">
      <c r="A962">
        <v>961</v>
      </c>
      <c r="B962">
        <f t="shared" si="9"/>
        <v>105.89581061259845</v>
      </c>
    </row>
    <row r="963">
      <c r="A963">
        <v>962</v>
      </c>
      <c r="B963">
        <f t="shared" si="9"/>
        <v>75.24526815450054</v>
      </c>
    </row>
    <row r="964">
      <c r="A964">
        <v>963</v>
      </c>
      <c r="B964">
        <f t="shared" si="9"/>
        <v>87.04117635056242</v>
      </c>
    </row>
    <row r="965">
      <c r="A965">
        <v>964</v>
      </c>
      <c r="B965">
        <f t="shared" si="9"/>
        <v>82.88964739207691</v>
      </c>
    </row>
    <row r="966">
      <c r="A966">
        <v>965</v>
      </c>
      <c r="B966">
        <f t="shared" si="9"/>
        <v>119.8566826071405</v>
      </c>
    </row>
    <row r="967">
      <c r="A967">
        <v>966</v>
      </c>
      <c r="B967">
        <f t="shared" si="9"/>
        <v>87.89376405493618</v>
      </c>
    </row>
    <row r="968">
      <c r="A968">
        <v>967</v>
      </c>
      <c r="B968">
        <f t="shared" si="9"/>
        <v>111.94014684240837</v>
      </c>
    </row>
    <row r="969">
      <c r="A969">
        <v>968</v>
      </c>
      <c r="B969">
        <f t="shared" si="9"/>
        <v>90.37566078048762</v>
      </c>
    </row>
    <row r="970">
      <c r="A970">
        <v>969</v>
      </c>
      <c r="B970">
        <f t="shared" si="9"/>
        <v>97.67544262751346</v>
      </c>
    </row>
    <row r="971">
      <c r="A971">
        <v>970</v>
      </c>
      <c r="B971">
        <f t="shared" si="9"/>
        <v>100.72233856348811</v>
      </c>
    </row>
    <row r="972">
      <c r="A972">
        <v>971</v>
      </c>
      <c r="B972">
        <f t="shared" si="9"/>
        <v>75.77227343064678</v>
      </c>
    </row>
    <row r="973">
      <c r="A973">
        <v>972</v>
      </c>
      <c r="B973">
        <f t="shared" si="9"/>
        <v>100.71487263889277</v>
      </c>
    </row>
    <row r="974">
      <c r="A974">
        <v>973</v>
      </c>
      <c r="B974">
        <f t="shared" si="9"/>
        <v>78.78867319701288</v>
      </c>
    </row>
    <row r="975">
      <c r="A975">
        <v>974</v>
      </c>
      <c r="B975">
        <f t="shared" si="9"/>
        <v>113.96742525255361</v>
      </c>
    </row>
    <row r="976">
      <c r="A976">
        <v>975</v>
      </c>
      <c r="B976">
        <f t="shared" si="9"/>
        <v>89.20536200673808</v>
      </c>
    </row>
    <row r="977">
      <c r="A977">
        <v>976</v>
      </c>
      <c r="B977">
        <f t="shared" si="9"/>
        <v>95.11011528242946</v>
      </c>
    </row>
    <row r="978">
      <c r="A978">
        <v>977</v>
      </c>
      <c r="B978">
        <f t="shared" si="9"/>
        <v>134.92162057932026</v>
      </c>
    </row>
    <row r="979">
      <c r="A979">
        <v>978</v>
      </c>
      <c r="B979">
        <f t="shared" si="9"/>
        <v>132.6326238234449</v>
      </c>
    </row>
    <row r="980">
      <c r="A980">
        <v>979</v>
      </c>
      <c r="B980">
        <f t="shared" si="9"/>
        <v>104.51231027850928</v>
      </c>
    </row>
    <row r="981">
      <c r="A981">
        <v>980</v>
      </c>
      <c r="B981">
        <f t="shared" si="9"/>
        <v>99.44033092141858</v>
      </c>
    </row>
    <row r="982">
      <c r="A982">
        <v>981</v>
      </c>
      <c r="B982">
        <f t="shared" si="9"/>
        <v>106.05635094218863</v>
      </c>
    </row>
    <row r="983">
      <c r="A983">
        <v>982</v>
      </c>
      <c r="B983">
        <f t="shared" si="9"/>
        <v>106.45393145638216</v>
      </c>
    </row>
    <row r="984">
      <c r="A984">
        <v>983</v>
      </c>
      <c r="B984">
        <f t="shared" si="9"/>
        <v>86.82327770581658</v>
      </c>
    </row>
    <row r="985">
      <c r="A985">
        <v>984</v>
      </c>
      <c r="B985">
        <f t="shared" si="9"/>
        <v>59.79232925821513</v>
      </c>
    </row>
    <row r="986">
      <c r="A986">
        <v>985</v>
      </c>
      <c r="B986">
        <f t="shared" si="9"/>
        <v>75.62591908704663</v>
      </c>
    </row>
    <row r="987">
      <c r="A987">
        <v>986</v>
      </c>
      <c r="B987">
        <f t="shared" si="9"/>
        <v>98.91411005303392</v>
      </c>
    </row>
    <row r="988">
      <c r="A988">
        <v>987</v>
      </c>
      <c r="B988">
        <f t="shared" si="9"/>
        <v>102.87497027338976</v>
      </c>
    </row>
    <row r="989">
      <c r="A989">
        <v>988</v>
      </c>
      <c r="B989">
        <f t="shared" si="9"/>
        <v>103.80330959778397</v>
      </c>
    </row>
    <row r="990">
      <c r="A990">
        <v>989</v>
      </c>
      <c r="B990">
        <f t="shared" si="9"/>
        <v>97.52146560411589</v>
      </c>
    </row>
    <row r="991">
      <c r="A991">
        <v>990</v>
      </c>
      <c r="B991">
        <f t="shared" si="9"/>
        <v>98.87597036165765</v>
      </c>
    </row>
    <row r="992">
      <c r="A992">
        <v>991</v>
      </c>
      <c r="B992">
        <f t="shared" si="9"/>
        <v>75.86432305031009</v>
      </c>
    </row>
    <row r="993">
      <c r="A993">
        <v>992</v>
      </c>
      <c r="B993">
        <f t="shared" si="9"/>
        <v>98.02672594596604</v>
      </c>
    </row>
    <row r="994">
      <c r="A994">
        <v>993</v>
      </c>
      <c r="B994">
        <f t="shared" si="9"/>
        <v>100.6658661960094</v>
      </c>
    </row>
    <row r="995">
      <c r="A995">
        <v>994</v>
      </c>
      <c r="B995">
        <f t="shared" si="9"/>
        <v>98.86644705452943</v>
      </c>
    </row>
    <row r="996">
      <c r="A996">
        <v>995</v>
      </c>
      <c r="B996">
        <f t="shared" si="9"/>
        <v>79.40086684651567</v>
      </c>
    </row>
    <row r="997">
      <c r="A997">
        <v>996</v>
      </c>
      <c r="B997">
        <f t="shared" si="9"/>
        <v>67.06580278873946</v>
      </c>
    </row>
    <row r="998">
      <c r="A998">
        <v>997</v>
      </c>
      <c r="B998">
        <f t="shared" si="9"/>
        <v>115.78022252476424</v>
      </c>
    </row>
    <row r="999">
      <c r="A999">
        <v>998</v>
      </c>
      <c r="B999">
        <f t="shared" si="9"/>
        <v>88.0079415265244</v>
      </c>
    </row>
    <row r="1000">
      <c r="A1000">
        <v>999</v>
      </c>
      <c r="B1000">
        <f t="shared" si="9"/>
        <v>92.9266690174839</v>
      </c>
    </row>
    <row r="1001">
      <c r="A1001">
        <v>1000</v>
      </c>
      <c r="B1001">
        <f t="shared" si="9"/>
        <v>103.09838323271401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>
      <c r="A1" s="1" t="s">
        <v>101</v>
      </c>
      <c r="B1" s="1" t="s">
        <v>81</v>
      </c>
    </row>
    <row r="2">
      <c r="A2" t="s">
        <v>102</v>
      </c>
      <c r="B2" t="s">
        <v>103</v>
      </c>
    </row>
    <row r="3">
      <c r="A3" t="s">
        <v>104</v>
      </c>
      <c r="B3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build_fixture.py</dc:creator>
  <dcterms:created xsi:type="dcterms:W3CDTF">2024-06-01T09:00:00Z</dcterms:created>
  <dcterms:modified xsi:type="dcterms:W3CDTF">2024-06-30T12:00:00Z</dcterms:modified>
</cp:coreProperties>
</file>